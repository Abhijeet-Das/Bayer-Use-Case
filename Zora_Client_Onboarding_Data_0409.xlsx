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deudeloitte.sharepoint.com/sites/CovestroZoraAI/Shared Documents/Allgemein/CFO Insights Pilot/Data/Updated Sample data/"/>
    </mc:Choice>
  </mc:AlternateContent>
  <xr:revisionPtr revIDLastSave="0" documentId="8_{69575067-ED3E-4122-9563-FC26889AC09C}" xr6:coauthVersionLast="47" xr6:coauthVersionMax="47" xr10:uidLastSave="{00000000-0000-0000-0000-000000000000}"/>
  <bookViews>
    <workbookView xWindow="-120" yWindow="-120" windowWidth="51840" windowHeight="21120" firstSheet="7" activeTab="2" xr2:uid="{00000000-000D-0000-FFFF-FFFF00000000}"/>
  </bookViews>
  <sheets>
    <sheet name="1. Overview &amp; Checklist" sheetId="1" r:id="rId1"/>
    <sheet name="2. Table Info" sheetId="2" r:id="rId2"/>
    <sheet name="3. Column Info" sheetId="14" r:id="rId3"/>
    <sheet name="4. Metrics" sheetId="22" r:id="rId4"/>
    <sheet name="5. GT- Ask Zora" sheetId="20" r:id="rId5"/>
    <sheet name="6. KPI Cards" sheetId="21" r:id="rId6"/>
    <sheet name="7. Performance Pulse" sheetId="7" r:id="rId7"/>
    <sheet name="8. Daily News Logic" sheetId="8" r:id="rId8"/>
    <sheet name="9. Fiscal &amp; Rounding Rules" sheetId="9" r:id="rId9"/>
    <sheet name="10. Requirements &amp; Notes" sheetId="10" r:id="rId10"/>
  </sheets>
  <externalReferences>
    <externalReference r:id="rId11"/>
  </externalReferences>
  <definedNames>
    <definedName name="_xlnm._FilterDatabase" localSheetId="3" hidden="1">'4. Metrics'!$A$5:$K$69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22" l="1"/>
  <c r="C68" i="22"/>
  <c r="C67" i="22"/>
  <c r="C66" i="22"/>
  <c r="C65" i="22"/>
  <c r="C64" i="22"/>
  <c r="C63" i="22"/>
  <c r="C62" i="22"/>
  <c r="C61" i="22"/>
  <c r="C60" i="22"/>
  <c r="C59" i="22"/>
  <c r="C58" i="22"/>
  <c r="C57" i="22"/>
  <c r="C56" i="22"/>
  <c r="C55" i="22"/>
  <c r="C54" i="22"/>
  <c r="C53" i="22"/>
  <c r="C52" i="22"/>
  <c r="C51" i="22"/>
  <c r="C48" i="22"/>
  <c r="C47" i="22"/>
  <c r="C46" i="22"/>
  <c r="C45" i="22"/>
  <c r="C44" i="22"/>
  <c r="C43" i="22"/>
  <c r="C42" i="22"/>
  <c r="C41" i="22"/>
  <c r="C40" i="22"/>
  <c r="C39" i="22"/>
  <c r="C38" i="22"/>
  <c r="C37" i="22"/>
  <c r="C36" i="22"/>
  <c r="C35" i="22"/>
  <c r="C34" i="22"/>
</calcChain>
</file>

<file path=xl/sharedStrings.xml><?xml version="1.0" encoding="utf-8"?>
<sst xmlns="http://schemas.openxmlformats.org/spreadsheetml/2006/main" count="7613" uniqueCount="2420">
  <si>
    <t>ZORA CLIENT ONBOARDING TEMPLATE — OVERVIEW &amp; CHECKLIST</t>
  </si>
  <si>
    <t>Use this checklist to track progress across all onboarding sheets. Complete sheets in order — later sheets depend on earlier ones. Sheet 1 (this sheet) is completed last as a summary of everything gathered.</t>
  </si>
  <si>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</si>
  <si>
    <t xml:space="preserve">  PROJECT INFORMATION</t>
  </si>
  <si>
    <t>Client Name</t>
  </si>
  <si>
    <t>Covestro</t>
  </si>
  <si>
    <t>Project / Engagement Name</t>
  </si>
  <si>
    <t>Zora AI Pilot</t>
  </si>
  <si>
    <t>Product Module(s) in Scope</t>
  </si>
  <si>
    <t>[e.g. Ask Zora, KPI Cards, Performance Pulse, Daily News]</t>
  </si>
  <si>
    <t>Primary Client Contact</t>
  </si>
  <si>
    <t>[Name, Title, Email]</t>
  </si>
  <si>
    <t>Zora Team Lead</t>
  </si>
  <si>
    <t>[Name]</t>
  </si>
  <si>
    <t>Target Go-Live Date</t>
  </si>
  <si>
    <t>[DD/MM/YYYY]</t>
  </si>
  <si>
    <t>Data Source System(s)</t>
  </si>
  <si>
    <t>[e.g. SAP S/4HANA, Oracle EBS, Salesforce CRM, Excel Budget Model]</t>
  </si>
  <si>
    <t>Reporting Currency</t>
  </si>
  <si>
    <t>[e.g. USD — all monetary amounts in reporting currency]</t>
  </si>
  <si>
    <t>Fiscal Year Start Month</t>
  </si>
  <si>
    <t>[e.g. January — or April if non-calendar fiscal year]</t>
  </si>
  <si>
    <t xml:space="preserve">  SHEET-BY-SHEET COMPLETION CHECKLIST</t>
  </si>
  <si>
    <t>#</t>
  </si>
  <si>
    <t>Sheet Name</t>
  </si>
  <si>
    <t>What This Sheet Captures</t>
  </si>
  <si>
    <t>Data Provider
(Client / Team)</t>
  </si>
  <si>
    <t>Format Required</t>
  </si>
  <si>
    <t>Priority</t>
  </si>
  <si>
    <t>Status</t>
  </si>
  <si>
    <t>2</t>
  </si>
  <si>
    <t>Table Info</t>
  </si>
  <si>
    <t>All database tables the AI can query: table names, grain (what one row represents), when to use each table, when NOT to use it, and which metrics each table supports.</t>
  </si>
  <si>
    <t>Client (data/IT team)
+ Zora Team validation</t>
  </si>
  <si>
    <t>Fill the Table Info sheet directly. One row per table.</t>
  </si>
  <si>
    <t>🔴 Critical
(required first)</t>
  </si>
  <si>
    <t>NOT STARTED</t>
  </si>
  <si>
    <t>3</t>
  </si>
  <si>
    <t>Column Info</t>
  </si>
  <si>
    <t>Every column in every table: business-friendly name, plain-English description, data type, sample values, and friendly_names (the phrases users say that map to this column).</t>
  </si>
  <si>
    <t>Fill the Column Info sheet. One row per column. friendly_names column is especially important — more = better.</t>
  </si>
  <si>
    <t>4</t>
  </si>
  <si>
    <t>Metrics</t>
  </si>
  <si>
    <t>Every metric the AI can compute: formula, keywords that trigger it, SQL template with {placeholders}, critical usage notes, and example arguments.</t>
  </si>
  <si>
    <t>Zora Team
(with client sign-off on formulas)</t>
  </si>
  <si>
    <t>Fill the Metrics sheet. One row per metric. Client must confirm formula definitions (e.g. how they define DSO, what budget version to use).</t>
  </si>
  <si>
    <t>🔴 Critical</t>
  </si>
  <si>
    <t>5</t>
  </si>
  <si>
    <t>GT — Ask Zora</t>
  </si>
  <si>
    <t>Ground truth question-answer pairs: sample user questions, source tables, step-by-step calculation logic, verified SQL, and expected numerical answers.</t>
  </si>
  <si>
    <t>Functional team (client SMEs)
+ Zora Team builds SQL</t>
  </si>
  <si>
    <t>Fill the GT sheet. Minimum 10 rows covering all key question types. Client SMEs must verify expected_answer values against their source of truth.</t>
  </si>
  <si>
    <t>6</t>
  </si>
  <si>
    <t>KPI Cards</t>
  </si>
  <si>
    <t>KPI card widget definitions: the headline SQL (returns one number), the comparison badge SQL (e.g. MoM change), footnote, target value, and favorable direction.</t>
  </si>
  <si>
    <t>Functional team (client)
+ Zora Team builds SQL</t>
  </si>
  <si>
    <t>Fill the KPI Cards sheet. One row per card. Each SQL must return exactly ONE row. Test against live data before marking complete.</t>
  </si>
  <si>
    <t>🟡 High</t>
  </si>
  <si>
    <t>7</t>
  </si>
  <si>
    <t>Performance Pulse</t>
  </si>
  <si>
    <t>Performance Pulse widget definitions: the SQL that retrieves data, ground truth numbers, the exact output format template (chart + table + narrative structure), and a sample prompt that triggers each widget.</t>
  </si>
  <si>
    <t>Functional team (client)
+ Zora Team</t>
  </si>
  <si>
    <t>Fill the Performance Pulse sheet. One row per widget. ground_truth must be verified. output_format is the exact AI response template.</t>
  </si>
  <si>
    <t>8</t>
  </si>
  <si>
    <t>Daily News Logic</t>
  </si>
  <si>
    <t>Daily auto-generated news items: what each item shows, headline and body templates, calculation logic, verified SQL, ground truth numbers, and chart specification.</t>
  </si>
  <si>
    <t>Fill the Daily News sheet. One row per news item. Test SQL against live data. Mark status PASS only when AI output matches ground truth.</t>
  </si>
  <si>
    <t>9</t>
  </si>
  <si>
    <t>Fiscal &amp; Rounding Rules</t>
  </si>
  <si>
    <t>Client-specific configuration: fiscal year start month, fiscal quarter mapping, reporting currency, number formatting rules, rounding conventions, budget version to use, and KPI targets.</t>
  </si>
  <si>
    <t>Client (Finance / FP&amp;A team)</t>
  </si>
  <si>
    <t>Fill the Fiscal &amp; Rounding Rules sheet directly. All fields required — incorrect fiscal config causes wrong period filters in every query.</t>
  </si>
  <si>
    <t>10</t>
  </si>
  <si>
    <t>Requirements &amp; Notes</t>
  </si>
  <si>
    <t>Master prompt context (who the AI is and how it should behave), known data issues and limitations, open questions for the client, and sign/rounding conventions.</t>
  </si>
  <si>
    <t>Zora Team
+ Client review</t>
  </si>
  <si>
    <t>Fill the Requirements &amp; Notes sheet. Master Prompt Context section is particularly important — it defines AI behaviour.</t>
  </si>
  <si>
    <t>STATUS KEY:   NOT STARTED = work not begun   |   IN PROGRESS = actively being filled   |   CLIENT REVIEW = submitted to client for verification   |   COMPLETE = verified and signed off</t>
  </si>
  <si>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</si>
  <si>
    <t>TABLE INFO</t>
  </si>
  <si>
    <t>One row per table in the client database. Describes purpose, grain, usage rules and key joins. Fill every column — the AI uses this to decide WHICH table to query.</t>
  </si>
  <si>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</si>
  <si>
    <t>table_name</t>
  </si>
  <si>
    <t>alias</t>
  </si>
  <si>
    <t>table_type</t>
  </si>
  <si>
    <t>primary_key</t>
  </si>
  <si>
    <t>grain</t>
  </si>
  <si>
    <t>when_to_use</t>
  </si>
  <si>
    <t>when_not_to_use</t>
  </si>
  <si>
    <t>string_columns</t>
  </si>
  <si>
    <t>possible_metrics</t>
  </si>
  <si>
    <t>notes</t>
  </si>
  <si>
    <t>AR_KeyDate</t>
  </si>
  <si>
    <t>kd</t>
  </si>
  <si>
    <t>Use for accounts receivable snapshot analysis at a specific reporting date. Use for overdue receivables, not-yet-due receivables, receivables balances, WAT Target, WOC Target, receivables aging, credit exposure, customer payment terms, and working capital reporting. Slice by customer, geography, product, sales organization, industry, marketing hierarchy, or reporting unit.</t>
  </si>
  <si>
    <t>Do not use for sales revenue, sales volume, margin, product cost, shipment, or OTIF analyses. Do not use for operational collection performance trends over time; use AR-PM instead</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</si>
  <si>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'Risk Category', 'Risk category2',SBE', 'SBE2', 'Sales Organization', 'Sales Organization2', 'Ship-to', 'Ship-to2', 'ShipTo State/ Province', 'ShipTo State/ Province2', 'Sold-to', 'Sold-to2', 'SoldTo State/ Province', 'SoldTo State/ Province2', 'Subregion ship-to', 'Subregion ship-to2', 'Subregion sold-to', 'Subregion sold-to2', 'Unpacked good', 'Unpacked good2', 'KPI AR-KeyDate: Amount in EUR', 'KPI AR-KeyDate: Counter', 'KPI AR-KeyDate: Net Value of Billing Item (DC)', 'KPI AR-KeyDate: Weighted WoC Target days', 'KPI AR-KeyDate: Weighted target days']</t>
  </si>
  <si>
    <t>Receivables;
Line items;
Net value of billing item;
Weighted WoC target days; 
Weighted target days
Overdue
WOC Target
WAT Target</t>
  </si>
  <si>
    <t>AR_PM</t>
  </si>
  <si>
    <t>pm</t>
  </si>
  <si>
    <t>Use for receivables performance monitoring over time. Use for EDO (Effective Days Outstanding), WAT Receivables, WDD (Weighted Delay Days), collection effectiveness, payment behavior, performance days, posting days, and deviations against WoC targets. Ideal for working capital performance management and collection trend analysis.</t>
  </si>
  <si>
    <t>Do not use for current AR balance snapshots, overdue balances, or receivable aging at a key date; use AR-KeyDate instead. Do not use for sales, margin, pricing, shipment, or OTIF analyses.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</si>
  <si>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'Risk Category', 'Risk category2','SBE', 'SBE2', 'Sales Organization', 'Sales Organization2', 'Ship-to', 'Ship-to2', 'ShipTo State/ Province', 'ShipTo State/ Province2', 'Sold-to', 'Sold-to2', 'SoldTo State/ Province', 'SoldTo State/ Province2', 'Subregion ship-to', 'Subregion ship-to2', 'Subregion sold-to', 'Subregion sold-to2', 'Unpacked good', 'Unpacked good2', 'KPI AR-PM: Amount EUR', 'KPI AR-PM: Counter', 'KPI AR-PM: Diff WoC Target', 'KPI AR-PM: EDO (Effective Days Outstanding)', 'KPI AR-PM: Performance Days', 'KPI AR-PM: Posting Days', 'KPI AR-PM: Weighted days late', 'KPI AR-PM: Weighted Target Days',	'KPI AR-PM: Weighted Performance Days', 'KPI AR-PM: Weighted WoC Target Days']</t>
  </si>
  <si>
    <t>Receivables - PM;
Line items - PM;
WoC deviation from target;
Effective days outstanding;
Performance days;
Posting days;
WAT Receivables;
Weighted delay days</t>
  </si>
  <si>
    <t>COPA</t>
  </si>
  <si>
    <t>cop</t>
  </si>
  <si>
    <t>Use for sales and commercial performance analysis. Use for Gross Sales, Net Sales, Net Proceeds, Sales Deductions, Sales Adjustments, Selling Price, price realization, revenue growth, customer/product sales performance, and commercial reporting. Use when the focus is sales value rather than profitability.</t>
  </si>
  <si>
    <t>Do not use for detailed profitability metrics such as MI1, MI2a, product cost analysis, manufacturing cost analysis, AR reporting, or delivery reliability metrics. Use COSMOS for margin and profitability calculations.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</si>
  <si>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COPA: Gross Sales Qty', 'KPI COPA: Gross sales', 'KPI COPA: Net proceeds', 'KPI COPA: Net sales', 'KPI COPA: Sales adjustments', 'KPI COPA: Sales deductions']</t>
  </si>
  <si>
    <t>Gross sales quantity (CO-PA);
Gross sales (CO-PA);
Net proceeds (CO-PA);
Net sales (CO-PA);
Sales adjustments (CO-PA);
Sales deductions (CO-PA)</t>
  </si>
  <si>
    <t>COSMOS</t>
  </si>
  <si>
    <t>cos</t>
  </si>
  <si>
    <t>Use for profitability, margin, and cost analysis. Use for MI1, MI2a, MI1 %, MI2a %, MI1 per kg, MI2a per kg, Variable Product Costs, Variable Product Costs per kg, Manufacturing Costs, Net Sales, Gross Sales Qty, Net Proceeds, Exchange Rate Effects, and overall business profitability reporting. This is the primary table for margin management and product profitability analysis.</t>
  </si>
  <si>
    <t>Do not use for accounts receivable analysis, delivery performance monitoring, shipment execution analysis, or operational logistics KPIs. Do not use when only COPA sales values are required and profitability metrics are not needed.</t>
  </si>
  <si>
    <t>['BG, booked', 'BG, booked2', 'Calendar Day',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'Exchange rate effect',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COSMOS: Consolidated Marginal Income 2a', 'KPI COSMOS: Consolidated Marginal Income I', 'KPI COSMOS: Gross Sales', 'KPI COSMOS: Gross Sales Qty (in+ex)', 'KPI COSMOS: Net Proceeds', 'KPI COSMOS: Net Sales', 'KPI COSMOS: Product Costs, Var.', 'KPI COSMOS: Sales Adjustments', 'KPI COSMOS: Sales Deductions', 'KPI COSMOS: Total Manufacturing Costs, Fix']</t>
  </si>
  <si>
    <t>Consolidated marginal income I;
Consolidated marginal income II a; 
Gross sales (COSMOS);
Gross sales quantity internal + external; (COSMOS)
Net proceeds (COSMOS);
Net sales (COSMOS);
Variable product costs;
Sales Adjustments (COSMOS);
Sales deductions (COSMOS);
Total fixed manufacturing costs
MI2a per kg
MI2a in %
Margin I per kg
MI1 in %
Var. Product Costs per kg</t>
  </si>
  <si>
    <t>OTIF</t>
  </si>
  <si>
    <t>o</t>
  </si>
  <si>
    <t>Use for supply chain and customer service performance reporting. Use for OTIF Rate, delivery reliability, on-time delivery, in-full delivery, late deliveries, transportation performance, quantity deviations, overdeliveries, underdeliveries, carrier performance, and logistics service level analysis.</t>
  </si>
  <si>
    <t>Do not use for sales revenue, profitability, pricing, receivables, working capital, or financial performance reporting. Delivery quantities should be used for service-level analysis only, not official sales volume reporting.</t>
  </si>
  <si>
    <t>['Act. GI Day', 'BG, booked', 'BG, booked2', 'Carrier', 'Carrier2', 'Company Code', 'Company Code2', 'Core Business Indicator', 'Core Business Indicator2', 'Country ship-to', 'Country ship-to2', 'Country sold-to', 'Country sold-to2', 'Delivery plant', 'Delivery plant2', 'Extern. Sales Office', 'Extern. Sales Office2', 'Int. Sales Group', 'Int. Sales Group2', 'Int. Sales office', 'Int. Sales office2', 'Key Industry', 'Key Industry2', 'Leg transp. Chain', 'Leg transp. Chain2', 'Loading Country', 'Loading Country2', 'Loading location', 'Loading location2',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'Mode of transport', 'Mode of transport2',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'T3 Arr. Date planned', 'T3 Arr. date actual', 'T3 Loading Loc. ROI', 'T3 Loading Loc. ROI2', 'T3 SH Shipper', 'T3 SH Shipper2', 'TM Destin. Location', 'TM Destin. Location2', 'Unpacked good', 'Unpacked good2', 'KPI OTIF: # OTIF', 'KPI OTIF: # late GI', 'KPI OTIF: # late IF', 'KPI OTIF: # late NIF', 'KPI OTIF: # late create', 'KPI OTIF: # late transport', 'KPI OTIF: # not in full', 'KPI OTIF: # on time', 'KPI OTIF: # total deliveries', 'KPI OTIF: # total late', 'KPI OTIF: # total late+OT NIF', 'KPI OTIF: 1. Agreed quantity KG', 'KPI OTIF: Delivery Quantity KG', 'KPI OTIF: Overdelivery KG', 'KPI OTIF: Qty deviation KG', 'KPI OTIF: Underdelivery KG', 'KPI OTIF: # OT not in full' ]</t>
  </si>
  <si>
    <t>On-time but incomplete deliveries
OTIF-compliant deliveries
Deliveries with late goods issue
Late and complete deliveries
Late and not-in-full deliveries (NIF)
Deliveries with late order creation
Deliveries with transport delay
Incomplete deliveries
On-time deliveries
Total deliveries
Total late deliveries
Total late and/or incomplete deliveries
Agreed delivery quantity
Actually delivered quantity
Overdelivery quantity 
Quantity deviation 
Underdelivery quantity 
OTIF Rate</t>
  </si>
  <si>
    <t>Sales</t>
  </si>
  <si>
    <t>s</t>
  </si>
  <si>
    <t>Use for order fulfillment, shipment, and delivery volume analysis. Use for Delivery Quantity KG, shipment values, delivery execution, planned vs. actual delivery dates, goods issue tracking, delivery trends, and Volume Growth (%). This table is best for operational sales volume and logistics execution reporting.</t>
  </si>
  <si>
    <t>Do not use for profitability calculations, marginal income reporting, receivables analysis, pricing calculations, or OTIF service-level calculations. For revenue use COPA; for margin use COSMOS; for delivery reliability use OTIF.</t>
  </si>
  <si>
    <t>['Act. GI Day', 'Actual delivery date', 'BG, booked', 'BG, booked2', 'Company Code', 'Company Code2', 'Core Business Indicator', 'Core Business Indicator2', 'Country ship-to', 'Country ship-to2', 'Country sold-to', 'Country sold-to2', 'Created on', 'Cust Hier1', 'Cust Hier12', 'Cust Hier2', 'Cust Hier22', 'Cust Hier3', 'Cust Hier32', 'Customer Cluster', 'Customer Cluster2', 'Delivery date plann.', 'Document currency', 'Document currency2', 'Extern. Sales Office', 'Extern. Sales Office2',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 goods is. date', 'Plant', 'Plant2', 'Prod.Hier.1', 'Prod.Hier.12', 'Prod.Hier.2', 'Prod.Hier.22', 'Prod.Hier.3', 'Prod.Hier.32', 'Prod.Hier.4', 'Prod.Hier.42', 'Prod.Hier.5', 'Prod.Hier.52', 'Prod.Hier.6', 'Prod.Hier.62', 'Prod.Hier.622', 'Prod.Hier.6222',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'Unpacked good', 'Unpacked good2', 'KPI Sales: Delivery Quantity KG', 'KPI Sales: Net value deliv. DC', 'KPI Sales: Net value delivery EUR']</t>
  </si>
  <si>
    <t>Order Volume;
Net value of delivery
Net Sales Growth (%)</t>
  </si>
  <si>
    <t>🟡 Yellow rows = example data from product reference model.  Replace with your client's actual table names, descriptions and business rules before use.</t>
  </si>
  <si>
    <t>COLUMN INFO</t>
  </si>
  <si>
    <t>One row per column in each table. Defines business meaning, data type, and the natural-language aliases the AI uses to map user questions to the right column.</t>
  </si>
  <si>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</si>
  <si>
    <t>column_name</t>
  </si>
  <si>
    <t>technical_name</t>
  </si>
  <si>
    <t>business_name</t>
  </si>
  <si>
    <t>description</t>
  </si>
  <si>
    <t>data_type</t>
  </si>
  <si>
    <t>is_key</t>
  </si>
  <si>
    <t>is_required</t>
  </si>
  <si>
    <t>sample_values</t>
  </si>
  <si>
    <t>friendly_names</t>
  </si>
  <si>
    <t>BG booked</t>
  </si>
  <si>
    <t>BG__BOOKED</t>
  </si>
  <si>
    <t>Booked business group</t>
  </si>
  <si>
    <t>Indicator for the booked business group (BG) of a document. Used in profitability analysis (CO-PA) and reporting to delimit booking units within a company code.</t>
  </si>
  <si>
    <t>NUMBER(2)</t>
  </si>
  <si>
    <t>False</t>
  </si>
  <si>
    <t>NOT NULL, integer only, max abs value 97</t>
  </si>
  <si>
    <t>business group; booked business group; BG; business unit group; reporting business group</t>
  </si>
  <si>
    <t>BG booked2</t>
  </si>
  <si>
    <t>BG__BOOKED2</t>
  </si>
  <si>
    <t>Booked business group (TEXT)</t>
  </si>
  <si>
    <t>VARCHAR2(40)</t>
  </si>
  <si>
    <t>PM</t>
  </si>
  <si>
    <t>NOT NULL, text/mixed, max length 20</t>
  </si>
  <si>
    <t>Company Code</t>
  </si>
  <si>
    <t>COMPANY_CODE</t>
  </si>
  <si>
    <t>Company code</t>
  </si>
  <si>
    <t>A company code is the smallest organizational unit for which a complete, self-contained set of accounts can be drawn up. It typically corresponds to a legally independent company within the group. All documents are assigned to a company code. Each legal entity has its own company code.</t>
  </si>
  <si>
    <t>NUMBER(4)</t>
  </si>
  <si>
    <t>NOT NULL, integer only, max abs value 2422</t>
  </si>
  <si>
    <t>company; legal entity; entity; subsidiary; business entity; reporting company</t>
  </si>
  <si>
    <t>Company Code2</t>
  </si>
  <si>
    <t>COMPANY_CODE2</t>
  </si>
  <si>
    <t>Company code (TEXT)</t>
  </si>
  <si>
    <t>Covestro Private/Ind</t>
  </si>
  <si>
    <t>Core Business Indicator</t>
  </si>
  <si>
    <t>CORE_BUSINESS_INDICATOR</t>
  </si>
  <si>
    <t>Core business indicator</t>
  </si>
  <si>
    <t>A flag that indicates whether a business transaction belongs to company' s core business or is assigned to a sideline business. Relevant for separating core and non-core activities in reporting. Values C, P, and T together represent Core Business classification.</t>
  </si>
  <si>
    <t>VARCHAR2(2)</t>
  </si>
  <si>
    <t>C</t>
  </si>
  <si>
    <t>NOT NULL, text/mixed, max length 1</t>
  </si>
  <si>
    <t>core business; non-core business; business classification; core activity; strategic business flag</t>
  </si>
  <si>
    <t>Core Business Indicator2</t>
  </si>
  <si>
    <t>CORE_BUSINESS_INDICATOR2</t>
  </si>
  <si>
    <t>Core business indicator (TEXT)</t>
  </si>
  <si>
    <t>Core external market</t>
  </si>
  <si>
    <t>Country ship-to</t>
  </si>
  <si>
    <t>COUNTRY_SHIP_TO</t>
  </si>
  <si>
    <t>Country of the ship-to party</t>
  </si>
  <si>
    <t>The country of the ship-to partner (goods recipient) from the customer master. Used for geographic analyses, foreign trade statistics and export controls. Part of the customer attributes in SAP S/4HANA (Ship-to Country).</t>
  </si>
  <si>
    <t>VARCHAR2(4)</t>
  </si>
  <si>
    <t>IN</t>
  </si>
  <si>
    <t>NOT NULL, text/mixed, max length 2</t>
  </si>
  <si>
    <t>ship-to country; delivery country; destination country; receiving country; customer destination country</t>
  </si>
  <si>
    <t>Country ship-to2</t>
  </si>
  <si>
    <t>COUNTRY_SHIP_TO2</t>
  </si>
  <si>
    <t>Country of the ship-to party (TEXT)</t>
  </si>
  <si>
    <t>VARCHAR2(28)</t>
  </si>
  <si>
    <t>India</t>
  </si>
  <si>
    <t>NOT NULL, text/mixed, max length 14</t>
  </si>
  <si>
    <t>Country sold-to</t>
  </si>
  <si>
    <t>COUNTRY_SOLD_TO</t>
  </si>
  <si>
    <t>Country of the sold-to party</t>
  </si>
  <si>
    <t>The country of the sold-to partner (ordering customer) from the customer master. Used for geographic sales analyses. Part of the customer attributes in SAP S/4HANA (Sold-to Country).</t>
  </si>
  <si>
    <t>customer country; sold-to country; sales country; ordering country; market country</t>
  </si>
  <si>
    <t>Country sold-to2</t>
  </si>
  <si>
    <t>COUNTRY_SOLD_TO2</t>
  </si>
  <si>
    <t>Country of the sold-to party (TEXT)</t>
  </si>
  <si>
    <t>VARCHAR2(30)</t>
  </si>
  <si>
    <t>NOT NULL, text/mixed, max length 15</t>
  </si>
  <si>
    <t>Cust Hier1</t>
  </si>
  <si>
    <t>CUST_HIER1</t>
  </si>
  <si>
    <t>Customer hierarchy level 1</t>
  </si>
  <si>
    <t>The highest level of the customer hierarchy. Customer hierarchies are flexible, multi-level structures that reflect the organizational structure of customers. Level 1 typically represents the parent company (e.g. group headquarters). Used for pricing and reporting.</t>
  </si>
  <si>
    <t>33</t>
  </si>
  <si>
    <t>customer hierarchy level 1; parent customer; global parent; customer group level 1; top customer hierarchy</t>
  </si>
  <si>
    <t>Cust Hier12</t>
  </si>
  <si>
    <t>CUST_HIER12</t>
  </si>
  <si>
    <t>Customer hierarchy level 1 (TEXT)</t>
  </si>
  <si>
    <t>VARCHAR2(38)</t>
  </si>
  <si>
    <t>TUR PU Specialties</t>
  </si>
  <si>
    <t>NOT NULL, text/mixed, max length 19</t>
  </si>
  <si>
    <t>Cust Hier2</t>
  </si>
  <si>
    <t>CUST_HIER2</t>
  </si>
  <si>
    <t>Customer hierarchy level 2</t>
  </si>
  <si>
    <t>Second level of the customer hierarchy. Typically represents an intermediate level (e.g. regional subsidiary) within the customer hierarchy.</t>
  </si>
  <si>
    <t>VARCHAR2(6)</t>
  </si>
  <si>
    <t>604</t>
  </si>
  <si>
    <t>NOT NULL, text/mixed, max length 3</t>
  </si>
  <si>
    <t>customer hierarchy level 2; customer group level 2; regional customer group; hierarchy level 2</t>
  </si>
  <si>
    <t>Cust Hier22</t>
  </si>
  <si>
    <t>CUST_HIER22</t>
  </si>
  <si>
    <t>Customer hierarchy level 2 (TEXT)</t>
  </si>
  <si>
    <t>TUR Auto</t>
  </si>
  <si>
    <t>Cust Hier3</t>
  </si>
  <si>
    <t>CUST_HIER3</t>
  </si>
  <si>
    <t>Customer hierarchy level 3</t>
  </si>
  <si>
    <t>Third level of the customer hierarchy. Represents the lowest standard hierarchy level (e.g. individual branch or subsidiary of the customer).</t>
  </si>
  <si>
    <t>VARCHAR2(10)</t>
  </si>
  <si>
    <t>71008</t>
  </si>
  <si>
    <t>NOT NULL, text/mixed, max length 5</t>
  </si>
  <si>
    <t>customer hierarchy level 3; customer group level 3; local customer group; hierarchy level 3</t>
  </si>
  <si>
    <t>Cust Hier32</t>
  </si>
  <si>
    <t>CUST_HIER32</t>
  </si>
  <si>
    <t>Customer hierarchy level 3 (TEXT)</t>
  </si>
  <si>
    <t>TU Auto LoadFloorSpr</t>
  </si>
  <si>
    <t>Customer Channel</t>
  </si>
  <si>
    <t>CUSTOMER_CHANNEL</t>
  </si>
  <si>
    <t>Customer sales channel</t>
  </si>
  <si>
    <t>An attribute that classifies a customer's sales channel(e.g. direct sales, distributor, e-commerce). Used for segmentation and sales analyses in BW reporting.</t>
  </si>
  <si>
    <t>D01</t>
  </si>
  <si>
    <t>sales channel; customer channel; distribution channel; route to market; go-to-market channel</t>
  </si>
  <si>
    <t>Customer Channel2</t>
  </si>
  <si>
    <t>CUSTOMER_CHANNEL2</t>
  </si>
  <si>
    <t>Customer sales channel (TEXT)</t>
  </si>
  <si>
    <t>VARCHAR2(56)</t>
  </si>
  <si>
    <t>DIR-Direct</t>
  </si>
  <si>
    <t>NOT NULL, text/mixed, max length 28</t>
  </si>
  <si>
    <t>Customer Cluster</t>
  </si>
  <si>
    <t>CUSTOMER_CLUSTER</t>
  </si>
  <si>
    <t>Customer cluster</t>
  </si>
  <si>
    <t>An attribute for grouping customers by strategic or analytical criteria (e.g. size, potential, industry). Used in sales controlling and segmentation analysis.</t>
  </si>
  <si>
    <t>VARCHAR2(8)</t>
  </si>
  <si>
    <t>1312</t>
  </si>
  <si>
    <t>NOT NULL, text/mixed, max length 4</t>
  </si>
  <si>
    <t>customer segment; customer cluster; customer category; strategic segment; customer grouping</t>
  </si>
  <si>
    <t>Customer Cluster2</t>
  </si>
  <si>
    <t>CUSTOMER_CLUSTER2</t>
  </si>
  <si>
    <t>Customer cluster (TEXT)</t>
  </si>
  <si>
    <t>VARCHAR2(74)</t>
  </si>
  <si>
    <t>PMC-TUR-SPEC-Others</t>
  </si>
  <si>
    <t>NOT NULL, text/mixed, max length 37</t>
  </si>
  <si>
    <t>Extern. Sales Office</t>
  </si>
  <si>
    <t>EXTERN__SALES_OFFICE</t>
  </si>
  <si>
    <t>External sales office code</t>
  </si>
  <si>
    <t>The external sales office is an organizational unit within the sales organization representing geographic sales regions.The nomenclature contains a 2-digit legal entity identifier followed by a number (70–79). Serves as a selection criterion for sales documents and analyses.</t>
  </si>
  <si>
    <t>VARCHAR2(12)</t>
  </si>
  <si>
    <t>HKA086</t>
  </si>
  <si>
    <t>NOT NULL, text/mixed, max length 6</t>
  </si>
  <si>
    <t>sales office; external sales office; regional sales office; commercial office</t>
  </si>
  <si>
    <t>Extern. Sales Office2</t>
  </si>
  <si>
    <t>EXTERN__SALES_OFFICE2</t>
  </si>
  <si>
    <t>External sales office code (TEXT)</t>
  </si>
  <si>
    <t>MBDNO</t>
  </si>
  <si>
    <t>FI-ML0</t>
  </si>
  <si>
    <t>FI_ML0</t>
  </si>
  <si>
    <t>Financial characteristic level 0</t>
  </si>
  <si>
    <t>An internal characteristic from financial accounting (FI) representing a top-level classification (Level 0) for cross-company-code analyses. Used in integrated financial and management reporting.</t>
  </si>
  <si>
    <t>NOT NULL, integer only, max abs value 78</t>
  </si>
  <si>
    <t>financial hierarchy; finance level 0; finance segment; reporting hierarchy</t>
  </si>
  <si>
    <t>FI-ML02</t>
  </si>
  <si>
    <t>FI_ML02</t>
  </si>
  <si>
    <t>Financial characteristic level 0 (TEXT)</t>
  </si>
  <si>
    <t>VARCHAR2(16)</t>
  </si>
  <si>
    <t>TUR</t>
  </si>
  <si>
    <t>NOT NULL, text/mixed, max length 8</t>
  </si>
  <si>
    <t>Fiscal year/period</t>
  </si>
  <si>
    <t>FISCAL_YEAR_PERIOD</t>
  </si>
  <si>
    <t>Fiscal year / period</t>
  </si>
  <si>
    <t xml:space="preserve">Combination of fiscal year (e.g. 2025) and posting period (e.g. 001–012 for months). Serves as the time dimension in all SAP posting and controlling reports. </t>
  </si>
  <si>
    <t>NUMBER(10,4)</t>
  </si>
  <si>
    <t>NOT NULL, numeric, max prec/scale 10/4</t>
  </si>
  <si>
    <t>fiscal period; fiscal month; accounting period; reporting period; fiscal year; period</t>
  </si>
  <si>
    <t>Fiscal year/period2</t>
  </si>
  <si>
    <t>FISCAL_YEAR_PERIOD2</t>
  </si>
  <si>
    <t>Fiscal year / period (TEXT)</t>
  </si>
  <si>
    <t>Jan 26</t>
  </si>
  <si>
    <t>Int. Sales Group</t>
  </si>
  <si>
    <t>INT__SALES_GROUP</t>
  </si>
  <si>
    <t>Internal sales group</t>
  </si>
  <si>
    <t xml:space="preserve">An internal sales group is a sub-unit of a sales office. Employees are assigned to sales groups; a group is responsible for all line items in a sales document. </t>
  </si>
  <si>
    <t>0B0</t>
  </si>
  <si>
    <t>sales group; internal sales group; sales team; commercial group</t>
  </si>
  <si>
    <t>Int. Sales Group2</t>
  </si>
  <si>
    <t>INT__SALES_GROUP2</t>
  </si>
  <si>
    <t>Internal sales group (TEXT)</t>
  </si>
  <si>
    <t>VARCHAR2(34)</t>
  </si>
  <si>
    <t>MBVPR</t>
  </si>
  <si>
    <t>NOT NULL, text/mixed, max length 17</t>
  </si>
  <si>
    <t>Key Industry</t>
  </si>
  <si>
    <t>KEY_INDUSTRY</t>
  </si>
  <si>
    <t>Key industry</t>
  </si>
  <si>
    <t>An attribute that classifies the target industry of a customer or product (e.g. Automotive, Construction, Electronics). Used for market and industry segmentation in sales reporting.</t>
  </si>
  <si>
    <t>NOT NULL, integer only, max abs value 16</t>
  </si>
  <si>
    <t>industry; industry segment; customer industry; market industry; sector</t>
  </si>
  <si>
    <t>Key Industry2</t>
  </si>
  <si>
    <t>KEY_INDUSTRY2</t>
  </si>
  <si>
    <t>Key industry (TEXT)</t>
  </si>
  <si>
    <t>Automotive</t>
  </si>
  <si>
    <t>Marketing Customer ship-to</t>
  </si>
  <si>
    <t>MARKETING_CUSTOMER_SHIP_TO</t>
  </si>
  <si>
    <t>Marketing customer (ship-to)</t>
  </si>
  <si>
    <t xml:space="preserve">An attribute in the customer master that assigns the ship-to party to a higher-level marketing customer. </t>
  </si>
  <si>
    <t>3530369</t>
  </si>
  <si>
    <t>marketing customer ship-to; customer group ship-to; strategic ship-to customer</t>
  </si>
  <si>
    <t>Marketing Customer ship-to2</t>
  </si>
  <si>
    <t>MARKETING_CUSTOMER_SHIP_TO2</t>
  </si>
  <si>
    <t>Marketing customer (ship-to) (TEXT)</t>
  </si>
  <si>
    <t>VARCHAR2(70)</t>
  </si>
  <si>
    <t>SUPREME NONWOVEN INDUSTRIES PVT.LTD</t>
  </si>
  <si>
    <t>NOT NULL, text/mixed, max length 35</t>
  </si>
  <si>
    <t>Marketing Customer sold-to</t>
  </si>
  <si>
    <t>MARKETING_CUSTOMER_SOLD_TO</t>
  </si>
  <si>
    <t>Marketing customer (sold-to)</t>
  </si>
  <si>
    <t>An attribute in the customer master that assigns the sold-to party to a higher-level marketing customer.</t>
  </si>
  <si>
    <t>marketing customer; global customer; strategic customer; corporate customer; parent customer</t>
  </si>
  <si>
    <t>Marketing Customer sold-to2</t>
  </si>
  <si>
    <t>MARKETING_CUSTOMER_SOLD_TO2</t>
  </si>
  <si>
    <t>Marketing customer (sold-to) (TEXT)</t>
  </si>
  <si>
    <t>Marketing Level 0</t>
  </si>
  <si>
    <t>MARKETING_LEVEL_0</t>
  </si>
  <si>
    <t>Marketing level 0 (top level)</t>
  </si>
  <si>
    <t>Highest level of the internal marketing hierarchy. Typically corresponds to the reportable segment (e.g. "Performance Materials" or "Solutions &amp; Specialties"). Serves as the highest aggregation level in product portfolio reporting.</t>
  </si>
  <si>
    <t>business segment; top marketing hierarchy; strategic segment; portfolio segment</t>
  </si>
  <si>
    <t>Marketing Level 02</t>
  </si>
  <si>
    <t>MARKETING_LEVEL_02</t>
  </si>
  <si>
    <t>Marketing level 0 (top level) (TEXT)</t>
  </si>
  <si>
    <t>Marketing Level 1</t>
  </si>
  <si>
    <t>MARKETING_LEVEL_1</t>
  </si>
  <si>
    <t>Marketing level 1</t>
  </si>
  <si>
    <t>Second level of the internal marketing hierarchy. Subdivides the reportable segment into strategic product groups or business entities.</t>
  </si>
  <si>
    <t>P71</t>
  </si>
  <si>
    <t>marketing hierarchy level 1; business line; marketing portfolio level 1</t>
  </si>
  <si>
    <t>Marketing Level 12</t>
  </si>
  <si>
    <t>MARKETING_LEVEL_12</t>
  </si>
  <si>
    <t>Marketing level 1 (TEXT)</t>
  </si>
  <si>
    <t>Marketing Level 2</t>
  </si>
  <si>
    <t>MARKETING_LEVEL_2</t>
  </si>
  <si>
    <t>Marketing level 2</t>
  </si>
  <si>
    <t>Third level of the internal marketing hierarchy. Represents a further subdivision of Marketing Level 1 groups, e.g. by product lines or application areas.</t>
  </si>
  <si>
    <t>marketing hierarchy level 2; product line; market segment</t>
  </si>
  <si>
    <t>Marketing Level 22</t>
  </si>
  <si>
    <t>MARKETING_LEVEL_22</t>
  </si>
  <si>
    <t>Marketing level 2 (TEXT)</t>
  </si>
  <si>
    <t>Marketing Level 3</t>
  </si>
  <si>
    <t>MARKETING_LEVEL_3</t>
  </si>
  <si>
    <t>Marketing level 3</t>
  </si>
  <si>
    <t>Fourth level of the internal marketing hierarchy. Further detail breakdown below Marketing Level 2, e.g. by product types or market segments.</t>
  </si>
  <si>
    <t>marketing hierarchy level 3; product segment; business segment</t>
  </si>
  <si>
    <t>Marketing Level 32</t>
  </si>
  <si>
    <t>MARKETING_LEVEL_32</t>
  </si>
  <si>
    <t>Marketing level 3 (TEXT)</t>
  </si>
  <si>
    <t>TU Auto Sys Int APAC</t>
  </si>
  <si>
    <t>Marketing Level 4</t>
  </si>
  <si>
    <t>MARKETING_LEVEL_4</t>
  </si>
  <si>
    <t>Marketing level 4 (lowest level)</t>
  </si>
  <si>
    <t>Lowest level of the internal marketing hierarchy. Represents the most granular classification in the marketing product tree, e.g. individual product grades or specifications.</t>
  </si>
  <si>
    <t>A923</t>
  </si>
  <si>
    <t>marketing hierarchy level 4; product group; product specification; portfolio detail</t>
  </si>
  <si>
    <t>Marketing Level 42</t>
  </si>
  <si>
    <t>MARKETING_LEVEL_42</t>
  </si>
  <si>
    <t>Marketing level 4 (lowest level) (TEXT)</t>
  </si>
  <si>
    <t>Material</t>
  </si>
  <si>
    <t>MATERIAL</t>
  </si>
  <si>
    <t>Material number</t>
  </si>
  <si>
    <t xml:space="preserve">The unique alphanumeric identifier of a material (product, raw material, semi-finished good) in the SAP system. Central master data object to which all logistical and accounting transactions are assigned. </t>
  </si>
  <si>
    <t>product number; material; SKU; item number; article; product code</t>
  </si>
  <si>
    <t>Material2</t>
  </si>
  <si>
    <t>MATERIAL2</t>
  </si>
  <si>
    <t>Material number (TEXT)</t>
  </si>
  <si>
    <t>VARCHAR2(80)</t>
  </si>
  <si>
    <t>DESMODUR VP.PU 1511 L    0250,00 KG B13</t>
  </si>
  <si>
    <t>NOT NULL, text/mixed, max length 40</t>
  </si>
  <si>
    <t>Net due date</t>
  </si>
  <si>
    <t>NET_DUE_DATE</t>
  </si>
  <si>
    <t>The date on which an open receivable (customer line item) is due net without any deduction. Derived from the invoice date plus the agreed payment terms. Central to accounts receivable management and WoC/EDO KPIs.</t>
  </si>
  <si>
    <t>DATE</t>
  </si>
  <si>
    <t>16.02.2026</t>
  </si>
  <si>
    <t>NOT NULL, all non-empty values match date pattern</t>
  </si>
  <si>
    <t>due date; payment due date; receivable due date; invoice due date</t>
  </si>
  <si>
    <t>PH3 Cluster</t>
  </si>
  <si>
    <t>PH3_CLUSTER</t>
  </si>
  <si>
    <t>Product hierarchy level 3 cluster</t>
  </si>
  <si>
    <t>A grouping based on the third product hierarchy level (PH3). Aggregates product groups into strategic clusters used for sales and planning analyses. Example cluster: ACR for acrylate product groups.</t>
  </si>
  <si>
    <t>product cluster; product group; product segment; product portfolio cluster</t>
  </si>
  <si>
    <t>PH3 Cluster2</t>
  </si>
  <si>
    <t>PH3_CLUSTER2</t>
  </si>
  <si>
    <t>Product hierarchy level 3 cluster (TEXT)</t>
  </si>
  <si>
    <t>SMDI</t>
  </si>
  <si>
    <t>Plant</t>
  </si>
  <si>
    <t>PLANT</t>
  </si>
  <si>
    <t xml:space="preserve">A plant is an organizational unit within logistics that represents the location of a production facility, storage location or service provision. All material stocks, production orders and deliveries are assigned to a plant. </t>
  </si>
  <si>
    <t>I1AQ</t>
  </si>
  <si>
    <t>plant; factory; manufacturing site; production site; warehouse; location</t>
  </si>
  <si>
    <t>Plant2</t>
  </si>
  <si>
    <t>PLANT2</t>
  </si>
  <si>
    <t>Plant (TEXT)</t>
  </si>
  <si>
    <t>DC NEW RHENUS WAREHO</t>
  </si>
  <si>
    <t>Posting date</t>
  </si>
  <si>
    <t>POSTING_DATE</t>
  </si>
  <si>
    <t xml:space="preserve">The date on which an accounting document is posted in the system. Determines the assignment to the posting period and fiscal year. May differ from the document date (invoice date). </t>
  </si>
  <si>
    <t>02.01.2026</t>
  </si>
  <si>
    <t>accounting date; posting date; booking date; financial posting date</t>
  </si>
  <si>
    <t>Prod.Hier.1</t>
  </si>
  <si>
    <t>PROD_HIER_1</t>
  </si>
  <si>
    <t>Product hierarchy level 1</t>
  </si>
  <si>
    <t>First (highest) level of the product hierarchy used for high-level product grouping. An alphanumeric character string that groups materials by overarching characteristics (e.g. product division).</t>
  </si>
  <si>
    <t>product hierarchy; product family; product division</t>
  </si>
  <si>
    <t>Prod.Hier.12</t>
  </si>
  <si>
    <t>PROD_HIER_12</t>
  </si>
  <si>
    <t>Product hierarchy level 1 (TEXT)</t>
  </si>
  <si>
    <t>Prod.Hier.2</t>
  </si>
  <si>
    <t>PROD_HIER_2</t>
  </si>
  <si>
    <t>Product hierarchy level 2</t>
  </si>
  <si>
    <t xml:space="preserve">Second level of the product hierarchy. Subdivides the first level into product categories. </t>
  </si>
  <si>
    <t>product category; product line; product hierarchy level 2</t>
  </si>
  <si>
    <t>Prod.Hier.22</t>
  </si>
  <si>
    <t>PROD_HIER_22</t>
  </si>
  <si>
    <t>Product hierarchy level 2 (TEXT)</t>
  </si>
  <si>
    <t>MDI PM</t>
  </si>
  <si>
    <t>Prod.Hier.3</t>
  </si>
  <si>
    <t>PROD_HIER_3</t>
  </si>
  <si>
    <t>Product hierarchy level 3</t>
  </si>
  <si>
    <t xml:space="preserve">Third level of the  product hierarchy. Represents the product subcategory or product type. </t>
  </si>
  <si>
    <t>100</t>
  </si>
  <si>
    <t>product type; product subgroup; hierarchy level 3</t>
  </si>
  <si>
    <t>Prod.Hier.32</t>
  </si>
  <si>
    <t>PROD_HIER_32</t>
  </si>
  <si>
    <t>Product hierarchy level 3 (TEXT)</t>
  </si>
  <si>
    <t>MDI PM POLYMER</t>
  </si>
  <si>
    <t>Prod.Hier.4</t>
  </si>
  <si>
    <t>PROD_HIER_4</t>
  </si>
  <si>
    <t>Product hierarchy level 4</t>
  </si>
  <si>
    <t>Fourth level of the product hierarchy used for more detailed product classifications.</t>
  </si>
  <si>
    <t>172</t>
  </si>
  <si>
    <t>product classification; product segment; hierarchy level 4</t>
  </si>
  <si>
    <t>Prod.Hier.42</t>
  </si>
  <si>
    <t>PROD_HIER_42</t>
  </si>
  <si>
    <t>Product hierarchy level 4 (TEXT)</t>
  </si>
  <si>
    <t>pMDI</t>
  </si>
  <si>
    <t>Prod.Hier.5</t>
  </si>
  <si>
    <t>PROD_HIER_5</t>
  </si>
  <si>
    <t>Product hierarchy level 5</t>
  </si>
  <si>
    <t>Fifth level of the product hierarchy used for more granular product group analyses (not used anymore)</t>
  </si>
  <si>
    <t>detailed product group; hierarchy level 5; fifth-level product grouping</t>
  </si>
  <si>
    <t>Prod.Hier.52</t>
  </si>
  <si>
    <t>PROD_HIER_52</t>
  </si>
  <si>
    <t>Product hierarchy level 5 (TEXT)</t>
  </si>
  <si>
    <t>70/04/100/172/Not as</t>
  </si>
  <si>
    <t>Prod.Hier.6</t>
  </si>
  <si>
    <t>PROD_HIER_6</t>
  </si>
  <si>
    <t>Product hierarchy level 6</t>
  </si>
  <si>
    <t>Sixth and lowest level of the product hierarchy at individual product or grade level for detailed product reporting. (not used anymore)</t>
  </si>
  <si>
    <t>product grade; SKU hierarchy; detailed product hierarchy</t>
  </si>
  <si>
    <t>Prod.Hier.62</t>
  </si>
  <si>
    <t>PROD_HIER_62</t>
  </si>
  <si>
    <t>Product hierarchy level 6 (TEXT)</t>
  </si>
  <si>
    <t>Produced Material</t>
  </si>
  <si>
    <t>PRODUCED_MATERIAL</t>
  </si>
  <si>
    <t>Produced material</t>
  </si>
  <si>
    <t>The material actually produced (finished product or semi-finished good) in the production process. May differ from the sold material (e.g. in case of repackaging or kitting). Relevant in the COSMOS consolidation process for the assignment of production costs. Remark: not all materials are assigned to a produced material (specific for certain business entities only)</t>
  </si>
  <si>
    <t>VARCHAR2(36)</t>
  </si>
  <si>
    <t>4203380</t>
  </si>
  <si>
    <t>NOT NULL, text/mixed, max length 18</t>
  </si>
  <si>
    <t>produced material; manufactured product; production material; made product</t>
  </si>
  <si>
    <t>Produced Material2</t>
  </si>
  <si>
    <t>PRODUCED_MATERIAL2</t>
  </si>
  <si>
    <t>Produced material (TEXT)</t>
  </si>
  <si>
    <t>MDI 44 V 20 L</t>
  </si>
  <si>
    <t>Region ship-to</t>
  </si>
  <si>
    <t>REGION_SHIP_TO</t>
  </si>
  <si>
    <t>Region of the ship-to party</t>
  </si>
  <si>
    <t>The geographic region (e.g. state, province) of the ship-to party. Derived from the customer address master and used for regional sales analyses.</t>
  </si>
  <si>
    <t>R3</t>
  </si>
  <si>
    <t>ship-to region; delivery region; destination region; customer delivery region; geography ship to; geographic region ship to; area ship to</t>
  </si>
  <si>
    <t>Region ship-to2</t>
  </si>
  <si>
    <t>REGION_SHIP_TO2</t>
  </si>
  <si>
    <t>Region of the ship-to party (TEXT)</t>
  </si>
  <si>
    <t>VARCHAR2(24)</t>
  </si>
  <si>
    <t>APAC</t>
  </si>
  <si>
    <t>NOT NULL, text/mixed, max length 12</t>
  </si>
  <si>
    <t>Region sold-to</t>
  </si>
  <si>
    <t>REGION_SOLD_TO</t>
  </si>
  <si>
    <t>Region of the sold-to party</t>
  </si>
  <si>
    <t>The geographic region of the sold-to party. Derived from the customer address master and used for regional sales analyses.</t>
  </si>
  <si>
    <t>sales region; customer region; market region; sold-to region; geography sold to; geographic region sold to; area sold to</t>
  </si>
  <si>
    <t>Region sold-to2</t>
  </si>
  <si>
    <t>REGION_SOLD_TO2</t>
  </si>
  <si>
    <t>Region of the sold-to party (TEXT)</t>
  </si>
  <si>
    <t>Reporting Unit book</t>
  </si>
  <si>
    <t>REPORTING_UNIT__BOOK</t>
  </si>
  <si>
    <t>Reporting unit (booked)</t>
  </si>
  <si>
    <t>The reporting unit identical to the profit center (1:1 relationship). It serves as the reporting entity in internal and external reporting. Booked refers to the actual profit center assignment recorded at posting time. Reporting units are part of the SBE hierarchy in the profit center standard hierarchy tree.</t>
  </si>
  <si>
    <t>630</t>
  </si>
  <si>
    <t>reporting unit; profit center; reporting entity; business reporting unit</t>
  </si>
  <si>
    <t>Reporting Unit book2</t>
  </si>
  <si>
    <t>REPORTING_UNIT__BOOK2</t>
  </si>
  <si>
    <t>Reporting unit (booked) (TEXT)</t>
  </si>
  <si>
    <t>MDI</t>
  </si>
  <si>
    <t>Risk Class</t>
  </si>
  <si>
    <t>RISK_CLASS</t>
  </si>
  <si>
    <t>Risk class</t>
  </si>
  <si>
    <t>Subordinate classification within a risk category. Indicates the severity or probability of occurrence of a risk. Used in the ICS and risk management process to prioritize control measures.</t>
  </si>
  <si>
    <t>N</t>
  </si>
  <si>
    <t>risk classification; customer risk class; credit risk class; risk level</t>
  </si>
  <si>
    <t>Risk Class2</t>
  </si>
  <si>
    <t>RISK_CLASS2</t>
  </si>
  <si>
    <t>Risk class (TEXT)</t>
  </si>
  <si>
    <t>VARCHAR2(44)</t>
  </si>
  <si>
    <t>New customer</t>
  </si>
  <si>
    <t>NOT NULL, text/mixed, max length 22</t>
  </si>
  <si>
    <t>Risk Category</t>
  </si>
  <si>
    <t>RISK_CATEGORY</t>
  </si>
  <si>
    <t>High-level classification of a risk used to group similar risks into broader categories (for example, financial, operational, compliance, strategic, or market risks). Provides the overall risk domain within the ICS and risk management framework and serves as the parent classification for individual risk classes.</t>
  </si>
  <si>
    <t>0889/002</t>
  </si>
  <si>
    <t>NOT NULL, text/mixed, max length 16</t>
  </si>
  <si>
    <t>risk classifier</t>
  </si>
  <si>
    <t>Risk Category2</t>
  </si>
  <si>
    <t>RISK_CATEGORY2</t>
  </si>
  <si>
    <t>NOT NULL, text/mixed, max length 34</t>
  </si>
  <si>
    <t>SBE</t>
  </si>
  <si>
    <t>Strategic Business Entity</t>
  </si>
  <si>
    <t>A Strategic Business Entity (SBE) is a higher-level organizational unit that fulfills at least the criteria for a profit center and additionally has significant independence from other SBEs (own production, marketing, R&amp;D, dedicated assets). SBEs are part of the profit center standard hierarchy tree and are typically equated with "Strategic Planning Unit" or "Cash Generating Unit". Formal approval by Controlling, Strategy and Accounting is required.</t>
  </si>
  <si>
    <t>04</t>
  </si>
  <si>
    <t>strategic business entity; business unit; operating segment; strategic unit</t>
  </si>
  <si>
    <t>SBE2</t>
  </si>
  <si>
    <t>Strategic Business Entity (TEXT)</t>
  </si>
  <si>
    <t>VARCHAR2(64)</t>
  </si>
  <si>
    <t>NOT NULL, text/mixed, max length 32</t>
  </si>
  <si>
    <t>Sales Organization</t>
  </si>
  <si>
    <t>SALES_ORGANIZATION</t>
  </si>
  <si>
    <t>Sales organization</t>
  </si>
  <si>
    <t>The sales organization is the highest aggregation level for sales statistics in SAP SD. It is assigned to exactly one company code. All line items of a sales, delivery or billing document belong to a sales organization. Nomenclature begins with a 2-digit legal entity identifier; sideline organizations end with "98".</t>
  </si>
  <si>
    <t>I120</t>
  </si>
  <si>
    <t>sales organization; sales org; selling entity; commercial organization</t>
  </si>
  <si>
    <t>Sales Organization2</t>
  </si>
  <si>
    <t>SALES_ORGANIZATION2</t>
  </si>
  <si>
    <t>Sales organization (TEXT)</t>
  </si>
  <si>
    <t>Covestro (IN) Ltd.</t>
  </si>
  <si>
    <t>Ship-to</t>
  </si>
  <si>
    <t>SHIP_TO</t>
  </si>
  <si>
    <t>Ship-to party</t>
  </si>
  <si>
    <t xml:space="preserve">The partner to whom goods are physically delivered (partner function SH). May differ from the sold-to party. Delivery address, shipping conditions and goods recipient data are taken from the customer master. </t>
  </si>
  <si>
    <t>ship-to customer; consignee; delivery customer; receiving customer; recipient</t>
  </si>
  <si>
    <t>Ship-to2</t>
  </si>
  <si>
    <t>SHIP_TO2</t>
  </si>
  <si>
    <t>Ship-to party (TEXT)</t>
  </si>
  <si>
    <t>SUPREME TREON PRIVATE LIMITED</t>
  </si>
  <si>
    <t>ShipTo State/ Province</t>
  </si>
  <si>
    <t>SHIPTO_STATE__PROVINCE</t>
  </si>
  <si>
    <t>State / province of the ship-to party</t>
  </si>
  <si>
    <t>The state or province of the ship-to party from the address master. Relevant for tax assignments (e.g. US sales tax) and regional analyses.</t>
  </si>
  <si>
    <t>IN/MH</t>
  </si>
  <si>
    <t>ship-to state; delivery state; destination province; delivery region</t>
  </si>
  <si>
    <t>ShipTo State/ Province2</t>
  </si>
  <si>
    <t>SHIPTO_STATE__PROVINCE2</t>
  </si>
  <si>
    <t>State / province of the ship-to party (TEXT)</t>
  </si>
  <si>
    <t>Maharashtra</t>
  </si>
  <si>
    <t>Sold-to</t>
  </si>
  <si>
    <t>SOLD_TO</t>
  </si>
  <si>
    <t>Sold-to party</t>
  </si>
  <si>
    <t>The customer who places the order (partner function SP). Central business partner in the order-to-cash process. Pricing conditions, payment terms and customer hierarchies are derived from the sold-to party.</t>
  </si>
  <si>
    <t>customer; customer name; client; client name; account; ordering customer; sold-to customer</t>
  </si>
  <si>
    <t>Sold-to2</t>
  </si>
  <si>
    <t>SOLD_TO2</t>
  </si>
  <si>
    <t>Sold-to party (TEXT)</t>
  </si>
  <si>
    <t>SoldTo State/ Province</t>
  </si>
  <si>
    <t>SOLDTO_STATE__PROVINCE</t>
  </si>
  <si>
    <t>State / province of the sold-to party</t>
  </si>
  <si>
    <t>The state or province of the sold-to party from the address master. Relevant for tax and regional analyses.</t>
  </si>
  <si>
    <t>MH</t>
  </si>
  <si>
    <t>customer state; sold-to state; customer province; sales province</t>
  </si>
  <si>
    <t>SoldTo State/ Province2</t>
  </si>
  <si>
    <t>SOLDTO_STATE__PROVINCE2</t>
  </si>
  <si>
    <t>State / province of the sold-to party (TEXT)</t>
  </si>
  <si>
    <t>Subregion ship-to</t>
  </si>
  <si>
    <t>SUBREGION_SHIP_TO</t>
  </si>
  <si>
    <t>Subregion of the ship-to party</t>
  </si>
  <si>
    <t>An attribute that assigns the ship-to party to a geographic subregion below the main region (e.g. Eastern Europe as a subregion of Europe). Used for detailed geographic sales analyses.</t>
  </si>
  <si>
    <t>R34</t>
  </si>
  <si>
    <t>ship-to subregion; delivery subregion; destination subregion</t>
  </si>
  <si>
    <t>Subregion ship-to2</t>
  </si>
  <si>
    <t>SUBREGION_SHIP_TO2</t>
  </si>
  <si>
    <t>Subregion of the ship-to party (TEXT)</t>
  </si>
  <si>
    <t>INDIA SUBCONTINENT</t>
  </si>
  <si>
    <t>Subregion sold-to</t>
  </si>
  <si>
    <t>SUBREGION_SOLD_TO</t>
  </si>
  <si>
    <t>Subregion of the sold-to party</t>
  </si>
  <si>
    <t>An attribute that assigns the sold-to party to a geographic subregion. Analogous to Subregion ship-to, but referring to the sold-to party.</t>
  </si>
  <si>
    <t>sales subregion; customer subregion; market subregion</t>
  </si>
  <si>
    <t>Subregion sold-to2</t>
  </si>
  <si>
    <t>SUBREGION_SOLD_TO2</t>
  </si>
  <si>
    <t>Subregion of the sold-to party (TEXT)</t>
  </si>
  <si>
    <t>Unpacked good</t>
  </si>
  <si>
    <t>UNPACKED_GOOD</t>
  </si>
  <si>
    <t>Unpacked goods</t>
  </si>
  <si>
    <t>Indicator or description of whether delivered goods are transported unpackaged (e.g. as bulk goods or in tank trucks). Relevant for packaging classification, hazardous goods handling and sustainability reporting.</t>
  </si>
  <si>
    <t>4474503</t>
  </si>
  <si>
    <t>bulk material; unpackaged goods; bulk shipment; unpacked material</t>
  </si>
  <si>
    <t>Unpacked good2</t>
  </si>
  <si>
    <t>UNPACKED_GOOD2</t>
  </si>
  <si>
    <t>Unpacked goods (TEXT)</t>
  </si>
  <si>
    <t>DESMODUR VP.PU 1511 L</t>
  </si>
  <si>
    <t>KPI AR-KeyDate: Amount in EUR</t>
  </si>
  <si>
    <t>KPI_AR_KEYDATE__AMOUNT_IN_EUR</t>
  </si>
  <si>
    <t>AR receivables amount in EUR at key date</t>
  </si>
  <si>
    <t>The open receivables amount in EUR at a defined key date. Part of the accounts receivable key date reporting. Used for WoC and receivables stock analyses.</t>
  </si>
  <si>
    <t>NUMBER(10,2)</t>
  </si>
  <si>
    <t>10510,44</t>
  </si>
  <si>
    <t>NOT NULL, numeric, max prec/scale 10/2</t>
  </si>
  <si>
    <t>receivables; accounts receivable; AR balance; outstanding receivables; open invoices</t>
  </si>
  <si>
    <t>KPI AR-KeyDate: Counter</t>
  </si>
  <si>
    <t>KPI_AR_KEYDATE__COUNTER</t>
  </si>
  <si>
    <t>Number of line items at key date</t>
  </si>
  <si>
    <t>Number of open customer line items (receivable positions) at the defined key date. Serves as the volume basis for average value calculations in AR key date reporting.</t>
  </si>
  <si>
    <t>NUMBER(10,3)</t>
  </si>
  <si>
    <t>0,999</t>
  </si>
  <si>
    <t>NOT NULL, numeric, max prec/scale 10/3</t>
  </si>
  <si>
    <t>receivable count; invoice count; open item count; line item count</t>
  </si>
  <si>
    <t>KPI AR-KeyDate: Net Value of Billing Item (DC)</t>
  </si>
  <si>
    <t>KPI_AR_KEYDATE__NET_VALUE_OF_BILLING_DC</t>
  </si>
  <si>
    <t>Net value of billing item in document currency at key date</t>
  </si>
  <si>
    <t>The net value of an invoice line item in document currency (DC) at the key date. Starting figure for the calculation of weighted receivables KPIs such as WoC and WAT.</t>
  </si>
  <si>
    <t>NUMBER(12,2)</t>
  </si>
  <si>
    <t>976068,6</t>
  </si>
  <si>
    <t>NULL, numeric, max prec/scale 12/2</t>
  </si>
  <si>
    <t>invoice value; billing value; receivable value; invoice amount</t>
  </si>
  <si>
    <t>KPI AR-KeyDate: Weighted WoC Target days</t>
  </si>
  <si>
    <t>KPI_AR_KEYDATE__WEIGHTED_WOC_TARGET_DAYS</t>
  </si>
  <si>
    <t>Weighted WoC target days at key date</t>
  </si>
  <si>
    <t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t>
  </si>
  <si>
    <t>NUMBER(21,14)</t>
  </si>
  <si>
    <t>630626,66</t>
  </si>
  <si>
    <t>NULL, numeric, max prec/scale 21/14</t>
  </si>
  <si>
    <t>WOC target; weeks of credit target; target credit days</t>
  </si>
  <si>
    <t>KPI AR-KeyDate: Weighted target days</t>
  </si>
  <si>
    <t>KPI_AR_KEYDATE__WEIGHTED_TARGET_DAYS</t>
  </si>
  <si>
    <t>Weighted target days at key date</t>
  </si>
  <si>
    <t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t>
  </si>
  <si>
    <t>NUMBER(11,2)</t>
  </si>
  <si>
    <t>472970</t>
  </si>
  <si>
    <t>NOT NULL, numeric, max prec/scale 11/2</t>
  </si>
  <si>
    <t>WAT target; payment target days; target payment terms</t>
  </si>
  <si>
    <t>Covestro Deutschland</t>
  </si>
  <si>
    <t>B</t>
  </si>
  <si>
    <t>Non core basic chem.</t>
  </si>
  <si>
    <t>DE</t>
  </si>
  <si>
    <t>Germany</t>
  </si>
  <si>
    <t>Not assigned</t>
  </si>
  <si>
    <t>1060</t>
  </si>
  <si>
    <t>PM IS SpecRaw +Trade</t>
  </si>
  <si>
    <t>DEE211</t>
  </si>
  <si>
    <t>ACHUD</t>
  </si>
  <si>
    <t>December 2025</t>
  </si>
  <si>
    <t>3A6</t>
  </si>
  <si>
    <t>SXBCEME</t>
  </si>
  <si>
    <t>Int. Sales office</t>
  </si>
  <si>
    <t>INT__SALES_OFFICE</t>
  </si>
  <si>
    <t>Internal sales office</t>
  </si>
  <si>
    <t>The internal sales office is assigned to one or more sales areas and can be subdivided into several sales groups.</t>
  </si>
  <si>
    <t>internal sales office; sales office; commercial office; selling organization</t>
  </si>
  <si>
    <t>Int. Sales office2</t>
  </si>
  <si>
    <t>INT__SALES_OFFICE2</t>
  </si>
  <si>
    <t>Internal sales office (TEXT)</t>
  </si>
  <si>
    <t>Chemical</t>
  </si>
  <si>
    <t>Stockmeier Holding SE</t>
  </si>
  <si>
    <t>E70</t>
  </si>
  <si>
    <t>PM Sales EMLA</t>
  </si>
  <si>
    <t>PM RPM BC EMLA</t>
  </si>
  <si>
    <t>PM MB 1 EMEA</t>
  </si>
  <si>
    <t>E090</t>
  </si>
  <si>
    <t>PM Trading / Dis.</t>
  </si>
  <si>
    <t>HYDROCHLORIC ACID 31 %   0000,00 KG T01</t>
  </si>
  <si>
    <t>04.01.2026</t>
  </si>
  <si>
    <t>BC</t>
  </si>
  <si>
    <t>BYPN</t>
  </si>
  <si>
    <t>PRD IO  ELECTR UER</t>
  </si>
  <si>
    <t>05.12.2025</t>
  </si>
  <si>
    <t>BASIC CHEMICALS</t>
  </si>
  <si>
    <t>101</t>
  </si>
  <si>
    <t>HYDROCLORICACID</t>
  </si>
  <si>
    <t>576</t>
  </si>
  <si>
    <t>HYDROCLORICACID 30%</t>
  </si>
  <si>
    <t>76/61/101/576/Not as</t>
  </si>
  <si>
    <t>5451159</t>
  </si>
  <si>
    <t>HYDROCHLORIC ACID 31%</t>
  </si>
  <si>
    <t>R1</t>
  </si>
  <si>
    <t>EMEA</t>
  </si>
  <si>
    <t>Indicates the severity or probability of occurrence of a risk. Used in the ICS and risk management process to prioritize control measures.</t>
  </si>
  <si>
    <t>70/Not assigned</t>
  </si>
  <si>
    <t>BY20</t>
  </si>
  <si>
    <t>COV Deutschland AG</t>
  </si>
  <si>
    <t>Stockmeier Chemie GmbH &amp; Co. KG</t>
  </si>
  <si>
    <t>DE/05</t>
  </si>
  <si>
    <t>Nrth Rhine Westfalia</t>
  </si>
  <si>
    <t>05</t>
  </si>
  <si>
    <t>R11</t>
  </si>
  <si>
    <t>WEST EUROPE</t>
  </si>
  <si>
    <t>KPI AR-PM: Amount EUR</t>
  </si>
  <si>
    <t>KPI_AR_PM__AMOUNT_EUR</t>
  </si>
  <si>
    <t>Receivables amount in EUR (performance monitoring)</t>
  </si>
  <si>
    <t>The receivables amount in EUR within the AR Performance Monitoring (AR-PM). Period-related figure for evaluating receivables performance.</t>
  </si>
  <si>
    <t>1298,27</t>
  </si>
  <si>
    <t>receivables amount; AR amount; outstanding balance</t>
  </si>
  <si>
    <t>KPI AR-PM: Counter</t>
  </si>
  <si>
    <t>KPI_AR_PM__COUNTER</t>
  </si>
  <si>
    <t>Number of line items (performance monitoring)</t>
  </si>
  <si>
    <t>Number of customer line items in AR Performance Monitoring. Volume basis for weighted average KPIs in AR period reporting.</t>
  </si>
  <si>
    <t>item count; invoice count; receivable count</t>
  </si>
  <si>
    <t>KPI AR-PM: Diff WoC Target</t>
  </si>
  <si>
    <t>KPI_AR_PM__DIFF_WOC_TARGET</t>
  </si>
  <si>
    <t>WoC deviation from target</t>
  </si>
  <si>
    <t>The difference between actual WoC (Weeks of Credit) and the target value. Positive value = payment term exceeded; negative value = payment term undercut. Operational control indicator for receivables management. If the supplied field is an EUR-day numerator, calculate the final difference as Diff WoC Target ÷ Amount EUR at row level or SUM(Diff WoC Target) ÷ SUM(Amount EUR) in aggregate; conceptually, the result should equal Actual WoC Days − WoC Target Days.</t>
  </si>
  <si>
    <t>NUMBER(9)</t>
  </si>
  <si>
    <t>NOT NULL, integer only, max abs value 24900</t>
  </si>
  <si>
    <t>WOC deviation; variance to target WoC; credit term variance; week of credit deviation</t>
  </si>
  <si>
    <t>KPI AR-PM: EDO (Effective Days Outstanding)</t>
  </si>
  <si>
    <t>KPI_AR_PM__EDO__EFFECTIVE_DAYS_OUTSTANDING</t>
  </si>
  <si>
    <t>Effective days outstanding</t>
  </si>
  <si>
    <t xml:space="preserve">EDO = WAT + WDD. Indicates the actual weighted outstanding days, i.e. the sum of the agreed payment terms (WAT) and the average delay (WDD). Corresponds to the operational DSO (Days Sales Outstanding). </t>
  </si>
  <si>
    <t>NUMBER(17,14)</t>
  </si>
  <si>
    <t>33,84</t>
  </si>
  <si>
    <t>NOT NULL, numeric, max prec/scale 17/14</t>
  </si>
  <si>
    <t>EDO; days outstanding; operational DSO; collection days</t>
  </si>
  <si>
    <t>KPI AR-PM: Performance Days</t>
  </si>
  <si>
    <t>KPI_AR_PM__PERFORMANCE_DAYS</t>
  </si>
  <si>
    <t>Performance days</t>
  </si>
  <si>
    <t>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</si>
  <si>
    <t>performance days; AR time performance; collection duration</t>
  </si>
  <si>
    <t>KPI AR-PM: Posting Days</t>
  </si>
  <si>
    <t>KPI_AR_PM__POSTING_DAYS</t>
  </si>
  <si>
    <t>Posting days</t>
  </si>
  <si>
    <t>The number of days between the invoice date and the actual posting date in the system. Provides insight into internal posting delays that affect AR performance. Reported separately to distinguish administrative delays from actual payment delays.</t>
  </si>
  <si>
    <t>NUMBER(15,14)</t>
  </si>
  <si>
    <t>NOT NULL, numeric, max prec/scale 15/14</t>
  </si>
  <si>
    <t>posting delay; processing days; posting duration</t>
  </si>
  <si>
    <t>KPI AR-PM: WAT Receivables</t>
  </si>
  <si>
    <t>KPI_AR_PM__WAT_RECEIVABLES</t>
  </si>
  <si>
    <t>Weighted average payment terms (receivables)</t>
  </si>
  <si>
    <t>WAT Receivables represents the average contractual payment term granted to customers, weighted by the value of the receivables. It measures how many days customers are allowed to pay according to agreed payment terms, while ensuring that larger receivables have a greater influence on the result than smaller receivables. WAT Receivables is calculated as SUM(Weighted Target Days) ÷ SUM(Amount EUR), where Weighted Target Days is the weighted numerator (Amount EUR × Contractual Payment-Term Days). A higher WAT indicates longer agreed payment terms and therefore a longer expected cash-conversion cycle.</t>
  </si>
  <si>
    <t>36,25</t>
  </si>
  <si>
    <t>WAT; weighted average terms; payment terms; average payment period</t>
  </si>
  <si>
    <t>KPI AR-PM: WDD (Weighted Delay Days)</t>
  </si>
  <si>
    <t>KPI_AR_PM__WDD__WEIGHTED_DELAY_DAYS</t>
  </si>
  <si>
    <t>Weighted delay days</t>
  </si>
  <si>
    <t>WDD measures customer payment behavior by showing the average number of days customers pay before or after their contractual due date, weighted by the value of the receivables. It helps distinguish whether cash collection performance is driven by customer payment delays rather than by the agreed payment terms themselves. WDD is calculated as SUM(Weighted Delay Days) ÷ SUM(Amount EUR), where Weighted Delay Days is the weighted numerator (Amount EUR × Delay Days), and can also be derived as EDO − WAT Receivables. A positive WDD indicates customers are paying later than agreed, a value of zero indicates payments are received on time, and a negative WDD indicates customers are paying earlier than agreed.</t>
  </si>
  <si>
    <t>-2,42</t>
  </si>
  <si>
    <t>WDD; payment delay; overdue days; collection delay</t>
  </si>
  <si>
    <t>KPI AR-PM: Weighted days late</t>
  </si>
  <si>
    <t>KPI_AR_PM__WEIGHTED_DAYS_LATE</t>
  </si>
  <si>
    <t>Weighted days late</t>
  </si>
  <si>
    <t>Indicates the amount-weighted average days of delay beyond the agreed payment term. A WDD of 5.2 days means that customers pay on average 5.2 days after the due date.</t>
  </si>
  <si>
    <t>0, 9229.58, -8407.36</t>
  </si>
  <si>
    <t>payment delay; overdue days; collection delay</t>
  </si>
  <si>
    <t>KPI AR-PM: Weighted Target Days</t>
  </si>
  <si>
    <t>KPI_AR_PM__WEIGHTED_TARGET_DAYS</t>
  </si>
  <si>
    <t xml:space="preserve">Weighted target days </t>
  </si>
  <si>
    <t>Amount-weighted contractual payment-term numerator, stored in EUR-days. Calculate contractual target days as Weighted Target Days ÷ Amount EUR; for aggregated analysis, use SUM(Weighted Target Days) ÷ SUM(Amount EUR).</t>
  </si>
  <si>
    <t>Contractual Payment Term Days (Weighted), Weighted Payment Terms</t>
  </si>
  <si>
    <t>KPI AR-PM: Weighted Performance</t>
  </si>
  <si>
    <t>KPI_AR_PM__WEIGHTED_PERFORMANCE_DAYS</t>
  </si>
  <si>
    <t>Weighted Performance days</t>
  </si>
  <si>
    <t>Amount-weighted numerator for the total duration of the receivables process, stored in EUR-days. Calculate Performance Days as Weighted Performance Days ÷ Amount EUR at row level or SUM(Weighted Performance Days) ÷ SUM(Amount EUR) in aggregate</t>
  </si>
  <si>
    <t>Total Collection Cycle Days (Weighted), End-to-End Receivable Days (Weighted)</t>
  </si>
  <si>
    <t>KPI AR-PM: Weighted WoC Target Days</t>
  </si>
  <si>
    <t>KPI_AR_PM__WEIGHTED_WOC_TARGET_DAYS</t>
  </si>
  <si>
    <t xml:space="preserve">Weighted WoC target days </t>
  </si>
  <si>
    <t>Amount-weighted working-capital target numerator, stored in EUR-days. Calculate WoC Target Days as Weighted WoC Target Days ÷ Amount EUR at row level or SUM(Weighted WoC Target Days) ÷ SUM(Amount EUR) in aggregate.</t>
  </si>
  <si>
    <t>Weighted Working Capital Target Days, Target Collection Days (Weighted)</t>
  </si>
  <si>
    <t>Other Systems</t>
  </si>
  <si>
    <t>Covestro Ltd./UK</t>
  </si>
  <si>
    <t>O</t>
  </si>
  <si>
    <t>Non core others</t>
  </si>
  <si>
    <t>NL</t>
  </si>
  <si>
    <t>Netherlands</t>
  </si>
  <si>
    <t>15</t>
  </si>
  <si>
    <t>Other Industries</t>
  </si>
  <si>
    <t>770</t>
  </si>
  <si>
    <t>Sideline Business</t>
  </si>
  <si>
    <t>77000</t>
  </si>
  <si>
    <t>DE5999</t>
  </si>
  <si>
    <t>SALESREP GLOBAL</t>
  </si>
  <si>
    <t>599</t>
  </si>
  <si>
    <t>SALESGROUP GLOBAL</t>
  </si>
  <si>
    <t>1D70</t>
  </si>
  <si>
    <t>SLB CORE 1751 (UK)</t>
  </si>
  <si>
    <t>2090571</t>
  </si>
  <si>
    <t>Covestro AG</t>
  </si>
  <si>
    <t>Other</t>
  </si>
  <si>
    <t>M77</t>
  </si>
  <si>
    <t>D777</t>
  </si>
  <si>
    <t>MARKETING COST REIMBURSEMENT (BT23)</t>
  </si>
  <si>
    <t>External SLB</t>
  </si>
  <si>
    <t>1DS1</t>
  </si>
  <si>
    <t>SLB CAS SYSTEMS UK</t>
  </si>
  <si>
    <t>GLOBAL SIDELINE BUSI</t>
  </si>
  <si>
    <t>NG9</t>
  </si>
  <si>
    <t>SERVICES</t>
  </si>
  <si>
    <t>N45</t>
  </si>
  <si>
    <t>NON BT21 SERVICES</t>
  </si>
  <si>
    <t>76/62/NG9/N45/Not as</t>
  </si>
  <si>
    <t>910</t>
  </si>
  <si>
    <t>IC Transactions SLB</t>
  </si>
  <si>
    <t>62</t>
  </si>
  <si>
    <t>SLB</t>
  </si>
  <si>
    <t>1D98</t>
  </si>
  <si>
    <t>Covestro UK Ltd SLB</t>
  </si>
  <si>
    <t>Covestro (Netherlands) B.V.</t>
  </si>
  <si>
    <t>x</t>
  </si>
  <si>
    <t>KPI COPA: Gross Sales Qty</t>
  </si>
  <si>
    <t>KPI_COPA__GROSS_SALES_QTY</t>
  </si>
  <si>
    <t>Gross sales quantity (CO-PA)</t>
  </si>
  <si>
    <t>The total invoiced quantity (in KG) before deduction of credit memos and returns, as recorded in SAP Profitability Analysis (CO-PA). Starting figure of the CO-PA revenue calculation.</t>
  </si>
  <si>
    <t>0</t>
  </si>
  <si>
    <t>gross sales volume; quantity sold; sales volume COPA; shipped volume; kilograms sold COPA; invoiced quantity</t>
  </si>
  <si>
    <t>KPI COPA: Gross sales</t>
  </si>
  <si>
    <t>KPI_COPA__GROSS_SALES</t>
  </si>
  <si>
    <t>Gross sales (CO-PA)</t>
  </si>
  <si>
    <t>The total invoiced revenue (gross revenues) before deduction of discounts, bonuses and other revenue deductions, recorded in CO-PA. Starting point of the revenue calculation in the contribution margin scheme.</t>
  </si>
  <si>
    <t>14365,35</t>
  </si>
  <si>
    <t>gross sales; gross revenue; invoiced revenue; topline before deductions</t>
  </si>
  <si>
    <t>KPI COPA: Net proceeds</t>
  </si>
  <si>
    <t>KPI_COPA__NET_PROCEEDS</t>
  </si>
  <si>
    <t>Net proceeds (CO-PA)</t>
  </si>
  <si>
    <t>Net Sales less sales adjustments, represents revenue after application of sales deductions and sales adjustments within CO-PA reporting.</t>
  </si>
  <si>
    <t>net proceeds; proceeds; realized revenue</t>
  </si>
  <si>
    <t>KPI COPA: Net sales</t>
  </si>
  <si>
    <t>KPI_COPA__NET_SALES</t>
  </si>
  <si>
    <t>Net sales (CO-PA)</t>
  </si>
  <si>
    <t xml:space="preserve">Gross Sales less sales deductions. </t>
  </si>
  <si>
    <t>revenue; net revenue; sales; turnover</t>
  </si>
  <si>
    <t>KPI COPA: Sales adjustments</t>
  </si>
  <si>
    <t>KPI_COPA__SALES_ADJUSTMENTS</t>
  </si>
  <si>
    <t>Sales adjustments (CO-PA)</t>
  </si>
  <si>
    <t>Correction postings to revenue in CO-PA, e.g. quantity corrections, price corrections of retrospectively posted conditions or periodic revaluations. Reported between Net Proceeds and Net Sales.</t>
  </si>
  <si>
    <t>revenue adjustments; sales corrections; price adjustments</t>
  </si>
  <si>
    <t>KPI COPA: Sales deductions</t>
  </si>
  <si>
    <t>KPI_COPA__SALES_DEDUCTIONS</t>
  </si>
  <si>
    <t>Sales deductions (CO-PA)</t>
  </si>
  <si>
    <t xml:space="preserve">All deductions from gross sales in CO-PA, e.g. customer discounts, volume discounts, bonuses, cash discounts and commissions. </t>
  </si>
  <si>
    <t>discounts; rebates; bonuses; sales deductions</t>
  </si>
  <si>
    <t>Calendar Day</t>
  </si>
  <si>
    <t>CALENDAR_DAY</t>
  </si>
  <si>
    <t>Calendar day</t>
  </si>
  <si>
    <t>A single calendar day, used as a characteristic/dimension in time-series reports. Serves for day-level aggregation or selection of data, e.g. in delivery performance or accounts receivable reporting.</t>
  </si>
  <si>
    <t>date; calendar day; reporting date; day; transaction date</t>
  </si>
  <si>
    <t>Exchange rate effect</t>
  </si>
  <si>
    <t>EXCHANGE_RATE_EFFECT</t>
  </si>
  <si>
    <t>The effect arising from exchange rate fluctuations between the document currency and the reporting currency (e.g. EUR). Relevant in revenue and margin reporting when revenues in foreign currency are converted to EUR. In COSMOS and CO-PA reporting, the exchange rate effect is explicitly reported as a separate figure.</t>
  </si>
  <si>
    <t>284,01</t>
  </si>
  <si>
    <t>FX effect; foreign exchange impact; currency impact; exchange gain/loss; currency effect</t>
  </si>
  <si>
    <t>The internal sales office is assigned to one or more sales areas and can be subdivided into several sales groups.I</t>
  </si>
  <si>
    <t>IN01</t>
  </si>
  <si>
    <t>COV India</t>
  </si>
  <si>
    <t>SUPREME NONWOVEN IND</t>
  </si>
  <si>
    <t>70/630</t>
  </si>
  <si>
    <t>Covestro (IN) Ltd,</t>
  </si>
  <si>
    <t>KPI COSMOS: Consolidated Marginal Income 2a</t>
  </si>
  <si>
    <t>KPI_COSMOS__CONSOLIDATED_MARGIN_IIa</t>
  </si>
  <si>
    <t>Consolidated marginal income II a (COSMOS)</t>
  </si>
  <si>
    <t>Consolidated Marginal Income I less  fix Total Manufacturing Costs, represents profitability after considering fixed manufacturing costs.</t>
  </si>
  <si>
    <t>2189,23</t>
  </si>
  <si>
    <t>MI2a; marginal income II; margin after fixed costs; consolidated margin IIa; steering margin II</t>
  </si>
  <si>
    <t>KPI COSMOS: Consolidated Marginal Income I</t>
  </si>
  <si>
    <t>KPI_COSMOS__CONSOLIDATED_MARGIN_I</t>
  </si>
  <si>
    <t>Consolidated marginal income I (COSMOS)</t>
  </si>
  <si>
    <t>Net proceeds less variable product Costs. Central steering indicator for portfolio decisions and pricing (DICE process).</t>
  </si>
  <si>
    <t>3239,07</t>
  </si>
  <si>
    <t>MI1; marginal income 1; contribution margin 1; CM1; margin 1</t>
  </si>
  <si>
    <t>KPI COSMOS: Gross Sales</t>
  </si>
  <si>
    <t>KPI_COSMOS__GROSS_SALES</t>
  </si>
  <si>
    <t>Gross sales (COSMOS)</t>
  </si>
  <si>
    <t>Gross sales on a consolidated COSMOS basis. Corresponds to the invoiced revenue from external sales (approx. 99% of total sales) before sales deductions are subtracted. Based on CO-PA data, enriched by COSMOS consolidation logic.</t>
  </si>
  <si>
    <t>8563,05</t>
  </si>
  <si>
    <t>gross sales COSMOS; gross revenue; consolidated revenue</t>
  </si>
  <si>
    <t>KPI COSMOS: Gross Sales Qty (in+ex)</t>
  </si>
  <si>
    <t>KPI_COSMOS__GROSS_SALES_QTY__IN_EX</t>
  </si>
  <si>
    <t>Gross sales quantity internal + external (COSMOS)</t>
  </si>
  <si>
    <t>The total quantity (in KG) of all sales on a COSMOS basis, including internal (intercompany) and external deliveries. "in+ex" stands for internal + external. Used as the volume basis for the calculation of unit costs (e.g. Product Costs, Var./KG).</t>
  </si>
  <si>
    <t>4637,06</t>
  </si>
  <si>
    <t>sales volume; quantity sold; volume; kilograms sold COSMOS</t>
  </si>
  <si>
    <t>KPI COSMOS: Net Proceeds</t>
  </si>
  <si>
    <t>KPI_COSMOS__NET_PROCEEDS</t>
  </si>
  <si>
    <t>Net proceeds (COSMOS)</t>
  </si>
  <si>
    <t>Net sales less sales adjustments on a consolidated COSMOS basis, represents revenue after application of sales deductions and sales adjustments</t>
  </si>
  <si>
    <t>8430,21</t>
  </si>
  <si>
    <t>net proceeds; contribution revenue; adjusted revenue</t>
  </si>
  <si>
    <t>KPI COSMOS: Net Sales</t>
  </si>
  <si>
    <t>KPI_COSMOS__NET_SALES</t>
  </si>
  <si>
    <t>Net sales (COSMOS)</t>
  </si>
  <si>
    <t>Gross sales less Sales deductions on a COSMOS basis. Corresponds to the final net sales after all revenue deductions and corrections in the consolidated margin reporting.</t>
  </si>
  <si>
    <t>net sales; revenue; consolidated net revenue</t>
  </si>
  <si>
    <t>KPI COSMOS: Product Costs Var.</t>
  </si>
  <si>
    <t>KPI_COSMOS__PRODUCT_COSTS__VAR</t>
  </si>
  <si>
    <t>Variable product costs (COSMOS)</t>
  </si>
  <si>
    <t>The consolidated variable production costs from COSMOS. Include direct material costs (DMC), variable direct product costs (DPC,var) as well as variable services and activities along the value chain.</t>
  </si>
  <si>
    <t>5191,14</t>
  </si>
  <si>
    <t>variable costs; production costs; variable product costs; variable manufacturing costs</t>
  </si>
  <si>
    <t>KPI COSMOS: Sales Adjustments</t>
  </si>
  <si>
    <t>KPI_COSMOS__SALES_ADJUSTMENTS</t>
  </si>
  <si>
    <t>Sales adjustments (COSMOS)</t>
  </si>
  <si>
    <t>Correction postings to revenue on a COSMOS basis. Corresponds in content to the CO-PA Sales Adjustments, but in the consolidated COSMOS context. Reported between Net Proceeds and Net Sales.</t>
  </si>
  <si>
    <t>132,84</t>
  </si>
  <si>
    <t>sales adjustments; revenue corrections; post-invoice corrections; revenue true-ups; billing corrections</t>
  </si>
  <si>
    <t>KPI COSMOS: Sales Deductions</t>
  </si>
  <si>
    <t>KPI_COSMOS__SALES_DEDUCTIONS</t>
  </si>
  <si>
    <t>Sales deductions (COSMOS)</t>
  </si>
  <si>
    <t>Sales deductions on a consolidated COSMOS basis. Originate from the unconsolidated CO-PA dataset (discounts, bonuses, cash discounts, commissions) and flow unchanged into the COSMOS calculation.</t>
  </si>
  <si>
    <t>discounts; rebates; deductions</t>
  </si>
  <si>
    <t>KPI COSMOS: Total Manufacturing Costs Fix</t>
  </si>
  <si>
    <t>KPI_COSMOS__TOTAL_MANUFACTURING</t>
  </si>
  <si>
    <t>Total fixed manufacturing costs (COSMOS)</t>
  </si>
  <si>
    <t>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t>
  </si>
  <si>
    <t>1049,84</t>
  </si>
  <si>
    <t>fixed manufacturing cost; fixed production cost; fixed costs</t>
  </si>
  <si>
    <t>Act. GI Day</t>
  </si>
  <si>
    <t>ACT__GI_DAY</t>
  </si>
  <si>
    <t>Actual goods issue date</t>
  </si>
  <si>
    <t>The actual date on which goods were physically issued (posted) from the warehouse. Differs from the planned goods issue date (Plan. goods is. date), which is calculated in advance based on delivery scheduling. The Actual GI Date is set by the system when the Post Goods Issue movement is posted.</t>
  </si>
  <si>
    <t>actual goods issue date; GI date; goods issue date; shipment date; dispatch date; actual shipment date; warehouse release date</t>
  </si>
  <si>
    <t>EP</t>
  </si>
  <si>
    <t>Carrier</t>
  </si>
  <si>
    <t>CARRIER</t>
  </si>
  <si>
    <t>Carrier / freight forwarder</t>
  </si>
  <si>
    <t>The logistics service provider (carrier) that executes the transport. The carrier is managed as a business partner and assigned to a freight order. Relevant for transport performance analysis and OTIF evaluations.</t>
  </si>
  <si>
    <t>carrier; freight forwarder; logistics provider; transporter; shipping company; transport vendor</t>
  </si>
  <si>
    <t>Carrier2</t>
  </si>
  <si>
    <t>CARRIER2</t>
  </si>
  <si>
    <t>Carrier / freight forwarder (TEXT)</t>
  </si>
  <si>
    <t>PROWAY LOGISTICS PRI</t>
  </si>
  <si>
    <t>Delivery plant</t>
  </si>
  <si>
    <t>DELIVERY_PLANT</t>
  </si>
  <si>
    <t>Delivering plant</t>
  </si>
  <si>
    <t>The plant from which the delivery to the customer is made. Recorded in the outbound delivery document and serves as an organizational element for warehouse logistics and production planning. Also determines the shipping point.</t>
  </si>
  <si>
    <t>I1BU</t>
  </si>
  <si>
    <t>delivery plant; shipping plant; supplying plant; distribution center; dispatch plant</t>
  </si>
  <si>
    <t>Delivery plant2</t>
  </si>
  <si>
    <t>DELIVERY_PLANT2</t>
  </si>
  <si>
    <t>Delivering plant (TEXT)</t>
  </si>
  <si>
    <t>DC SRIPERUMBUDUR 2</t>
  </si>
  <si>
    <t>BRL042</t>
  </si>
  <si>
    <t>MBAVX</t>
  </si>
  <si>
    <t>J16</t>
  </si>
  <si>
    <t>CVDJD</t>
  </si>
  <si>
    <t>Leg transp. Chain</t>
  </si>
  <si>
    <t>LEG_TRANSP__CHAIN</t>
  </si>
  <si>
    <t>Transport chain leg</t>
  </si>
  <si>
    <t>A "leg" denotes a single segment within a multi-stage transportation chain. Transports can consist of multiple legs (e.g. pre-carriage by truck, main carriage by sea, on-carriage by rail). Each leg has its own origin/destination locations, carrier and time windows.</t>
  </si>
  <si>
    <t>transport leg; logistics leg; shipment segment; transportation stage</t>
  </si>
  <si>
    <t>Leg transp. Chain2</t>
  </si>
  <si>
    <t>LEG_TRANSP__CHAIN2</t>
  </si>
  <si>
    <t>Transport chain leg (TEXT)</t>
  </si>
  <si>
    <t>Loading Country</t>
  </si>
  <si>
    <t>LOADING_COUNTRY</t>
  </si>
  <si>
    <t>Loading country</t>
  </si>
  <si>
    <t>The country in which the goods are loaded (country of origin of the transport). Relevant for foreign trade statistics, Intrastat declarations and customs processing.</t>
  </si>
  <si>
    <t>loading country; shipping origin country; export country; country of origin</t>
  </si>
  <si>
    <t>Loading Country2</t>
  </si>
  <si>
    <t>LOADING_COUNTRY2</t>
  </si>
  <si>
    <t>Loading country (TEXT)</t>
  </si>
  <si>
    <t>Loading location</t>
  </si>
  <si>
    <t>LOADING_LOCATION</t>
  </si>
  <si>
    <t>The specific location (plant, warehouse, port) from which goods are loaded. Used in transportation management as the source location and influences route planning.</t>
  </si>
  <si>
    <t>VARCHAR2(26)</t>
  </si>
  <si>
    <t>IN/IN_I1BU</t>
  </si>
  <si>
    <t>NOT NULL, text/mixed, max length 13</t>
  </si>
  <si>
    <t>loading point; shipping location; dispatch location; warehouse location</t>
  </si>
  <si>
    <t>Loading location2</t>
  </si>
  <si>
    <t>LOADING_LOCATION2</t>
  </si>
  <si>
    <t>Loading location (TEXT)</t>
  </si>
  <si>
    <t>VARCHAR2(60)</t>
  </si>
  <si>
    <t>Coc DC SRIPERUMBUDUR 2</t>
  </si>
  <si>
    <t>NOT NULL, text/mixed, max length 30</t>
  </si>
  <si>
    <t>447716</t>
  </si>
  <si>
    <t>Inabata &amp; Co.Ltd.</t>
  </si>
  <si>
    <t>M73</t>
  </si>
  <si>
    <t>EP Mobility</t>
  </si>
  <si>
    <t>EP MOB BP</t>
  </si>
  <si>
    <t>A268</t>
  </si>
  <si>
    <t>M.2407C         010806            BK150W</t>
  </si>
  <si>
    <t>Mode of transport</t>
  </si>
  <si>
    <t>MODE_OF_TRANSPORT</t>
  </si>
  <si>
    <t>The mode of transport describes the type of means of transport used (e.g. road, rail, sea, air). Managed in SAP TM as "Transportation Mode Code". Relevant for route planning, freight cost calculation and sustainability reporting.</t>
  </si>
  <si>
    <t>NOT NULL, integer only, max abs value 80</t>
  </si>
  <si>
    <t>transport mode; shipping mode; transportation method; freight mode</t>
  </si>
  <si>
    <t>Mode of transport2</t>
  </si>
  <si>
    <t>MODE_OF_TRANSPORT2</t>
  </si>
  <si>
    <t>Mode of transport (TEXT)</t>
  </si>
  <si>
    <t>VARCHAR2(20)</t>
  </si>
  <si>
    <t>Truck</t>
  </si>
  <si>
    <t>NOT NULL, text/mixed, max length 10</t>
  </si>
  <si>
    <t>EP Resins</t>
  </si>
  <si>
    <t>RESINS</t>
  </si>
  <si>
    <t>626</t>
  </si>
  <si>
    <t>MAKROLON FOR IM - DR</t>
  </si>
  <si>
    <t>903</t>
  </si>
  <si>
    <t>IM DS OPAQUE</t>
  </si>
  <si>
    <t>73/31/626/903/Not as</t>
  </si>
  <si>
    <t>86834251</t>
  </si>
  <si>
    <t>M.2407C         010806</t>
  </si>
  <si>
    <t>73/060</t>
  </si>
  <si>
    <t>31</t>
  </si>
  <si>
    <t>INABATA INDIA PRIVATE LIMITED</t>
  </si>
  <si>
    <t>TN</t>
  </si>
  <si>
    <t>Tamil Nadu</t>
  </si>
  <si>
    <t>T3 Arr. Date planned</t>
  </si>
  <si>
    <t>T3_ARR__DATE_PLANNED</t>
  </si>
  <si>
    <t>T3 planned arrival date</t>
  </si>
  <si>
    <t>The planned arrival date according to the T3 tracking system. Compared against the actual arrival to identify punctuality deviations.</t>
  </si>
  <si>
    <t>03.01.2026</t>
  </si>
  <si>
    <t>planned arrival date; expected arrival date; scheduled arrival</t>
  </si>
  <si>
    <t>T3 Arr. date actual</t>
  </si>
  <si>
    <t>T3_ARR__DATE_ACTUAL</t>
  </si>
  <si>
    <t>T3 actual arrival date</t>
  </si>
  <si>
    <t>The actual arrival date in the T3 tracking system (third-party logistics tracking tool integrated with SAP TM). Indicates when the shipment actually arrived at the destination. Used for OTIF and transport performance analyses.</t>
  </si>
  <si>
    <t>actual arrival date; actual transport arrival; shipment arrival date</t>
  </si>
  <si>
    <t>T3 Loading Loc. ROI</t>
  </si>
  <si>
    <t>T3_LOADING_LOC__ROI</t>
  </si>
  <si>
    <t>T3 loading location ROI</t>
  </si>
  <si>
    <t>The loading location stored in the T3 system with ROI reference (Region of Interest). Used for tracking and transport analyses within the logistics network.</t>
  </si>
  <si>
    <t>IN IN_I1BU</t>
  </si>
  <si>
    <t>loading ROI; loading location ROI; transport loading point</t>
  </si>
  <si>
    <t>T3 Loading Loc. ROI2</t>
  </si>
  <si>
    <t>T3_LOADING_LOC__ROI2</t>
  </si>
  <si>
    <t>T3 loading location ROI (TEXT)</t>
  </si>
  <si>
    <t>T3 SH Shipper</t>
  </si>
  <si>
    <t>T3_SH_SHIPPER</t>
  </si>
  <si>
    <t>T3 shipper</t>
  </si>
  <si>
    <t>The shipper stored in the T3 tracking system. Identifies the dispatching location or dispatching company within the transport chain.</t>
  </si>
  <si>
    <t>shipper; shipping party; dispatching party</t>
  </si>
  <si>
    <t>T3 SH Shipper2</t>
  </si>
  <si>
    <t>T3_SH_SHIPPER2</t>
  </si>
  <si>
    <t>T3 shipper (TEXT)</t>
  </si>
  <si>
    <t>TM Destin. Location</t>
  </si>
  <si>
    <t>TM_DESTIN__LOCATION</t>
  </si>
  <si>
    <t>TM destination location</t>
  </si>
  <si>
    <t>The destination location of a freight order in SAP Transportation Management. Indicates the physical receiving location of a delivery (e.g. customer warehouse, port, transshipment point).</t>
  </si>
  <si>
    <t>C_0011226375</t>
  </si>
  <si>
    <t>destination location; receiving location; delivery destination</t>
  </si>
  <si>
    <t>TM Destin. Location2</t>
  </si>
  <si>
    <t>TM_DESTIN__LOCATION2</t>
  </si>
  <si>
    <t>TM destination location (TEXT)</t>
  </si>
  <si>
    <t>KPI OTIF: # OTIF</t>
  </si>
  <si>
    <t>KPI_OTIF____OTIF</t>
  </si>
  <si>
    <t>Number of OTIF-compliant deliveries</t>
  </si>
  <si>
    <t>Number of deliveries that were delivered both on time and in full quantity. Numerator for the OTIF rate. A delivery is only considered OTIF if both conditions are fulfilled simultaneously.</t>
  </si>
  <si>
    <t>1,31</t>
  </si>
  <si>
    <t>NULL, numeric, max prec/scale 10/3</t>
  </si>
  <si>
    <t>OTIF deliveries; compliant deliveries; successful deliveries, OTIF compliant</t>
  </si>
  <si>
    <t>KPI OTIF: # late GI</t>
  </si>
  <si>
    <t>KPI_OTIF____LATE_GI</t>
  </si>
  <si>
    <t>Number of deliveries with late goods issue</t>
  </si>
  <si>
    <t>Number of deliveries where the actual goods issue (Actual GI Date) occurred after the planned goods issue date (Plan. goods is. date). Identifies delays in the internal dispatch process as a root cause of OTIF deviations.</t>
  </si>
  <si>
    <t>0,96</t>
  </si>
  <si>
    <t>deliveries with GI delay; goods issue delay; shipped late from warehouse; late dispatch</t>
  </si>
  <si>
    <t>KPI OTIF: # late IF</t>
  </si>
  <si>
    <t>KPI_OTIF____LATE_IF</t>
  </si>
  <si>
    <t>Number of late and complete deliveries</t>
  </si>
  <si>
    <t xml:space="preserve">Number of deliveries that were late and delivered in full quantity. </t>
  </si>
  <si>
    <t>late in full; delayed complete deliveries; late but complete deliveries; on-time miss with full quantity</t>
  </si>
  <si>
    <t>KPI OTIF: # late NIF</t>
  </si>
  <si>
    <t>KPI_OTIF____LATE_NIF</t>
  </si>
  <si>
    <t>Number of late and not-in-full deliveries (NIF)</t>
  </si>
  <si>
    <t>Number of deliveries that were late and not delivered in full quantity (Not In Full). NIF = Not In Full. Sub-category for combined quantity and schedule deviations in OTIF reporting. Worst-case category in the OTIF framework.</t>
  </si>
  <si>
    <t>1,13</t>
  </si>
  <si>
    <t>late not in full; delayed incomplete deliveries; late and short deliveries; double miss deliveries</t>
  </si>
  <si>
    <t>KPI OTIF: # late create</t>
  </si>
  <si>
    <t>KPI_OTIF____LATE_CREATE</t>
  </si>
  <si>
    <t>Number of deliveries with late order creation</t>
  </si>
  <si>
    <t>Number of deliveries where order creation (Order Creation) occurred too late and thereby contributed to the overall delay. Identifies administrative delays in order management as an OTIF root cause.</t>
  </si>
  <si>
    <t>1,32</t>
  </si>
  <si>
    <t>deliveries with order creation delay; deliveries with late order creation; late order booking; order creation lag</t>
  </si>
  <si>
    <t>KPI OTIF: # late transport</t>
  </si>
  <si>
    <t>KPI_OTIF____LATE_TRANSPORT</t>
  </si>
  <si>
    <t>Number of deliveries with transport delay</t>
  </si>
  <si>
    <t>Number of deliveries where transport (carrier/freight forwarder) was identified as the cause of the delay. Used for transport service provider evaluation and carrier performance analysis.</t>
  </si>
  <si>
    <t>1,36</t>
  </si>
  <si>
    <t>deliveries with transport delays;deliveries with carrier delays; deliveries with logistics delays</t>
  </si>
  <si>
    <t>KPI OTIF: # not in full</t>
  </si>
  <si>
    <t>KPI_OTIF____NOT_IN_FULL</t>
  </si>
  <si>
    <t>Number of incomplete deliveries</t>
  </si>
  <si>
    <t>Number of deliveries where the delivered quantity was less than the confirmed/ordered quantity, regardless of delivery timing. Sub-component of the OTIF KPI for identifying quantity shortfalls.</t>
  </si>
  <si>
    <t>incomplete deliveries; short shipments; not in full</t>
  </si>
  <si>
    <t>KPI OTIF: # on time</t>
  </si>
  <si>
    <t>KPI_OTIF____ON_TIME</t>
  </si>
  <si>
    <t>Number of on-time deliveries</t>
  </si>
  <si>
    <t>Number of deliveries that arrived at the customer on or before the agreed delivery date, regardless of the quantity delivered. Sub-component of the OT8IF KPI.</t>
  </si>
  <si>
    <t>on-time deliveries; punctual deliveries; delivered as promised; met delivery date</t>
  </si>
  <si>
    <t>KPI OTIF: # total deliveries</t>
  </si>
  <si>
    <t>KPI_OTIF____TOTAL_DELIVERIES</t>
  </si>
  <si>
    <t>Total number of deliveries</t>
  </si>
  <si>
    <t>The total number of all evaluated deliveries in the reporting period. Denominator for the calculation of the OTIF rate: OTIF% = # OTIF / # total deliveries × 100.</t>
  </si>
  <si>
    <t>deliveries; shipment count; total shipments</t>
  </si>
  <si>
    <t>KPI OTIF: # total late</t>
  </si>
  <si>
    <t>KPI_OTIF____TOTAL_LATE</t>
  </si>
  <si>
    <t>Total number of late deliveries</t>
  </si>
  <si>
    <t>Total number of all deliveries that arrived at the customer after the agreed delivery date, regardless of quantity completeness.</t>
  </si>
  <si>
    <t>late deliveries; delayed shipments; missed delivery date; overall lateness count</t>
  </si>
  <si>
    <t>KPI OTIF: # total late+OT NIF</t>
  </si>
  <si>
    <t>KPI_OTIF____TOTAL_LATE_OT_NIF</t>
  </si>
  <si>
    <t>Total number of late and/or incomplete deliveries</t>
  </si>
  <si>
    <t>Count of all deliveries that are either late, not in full, or both. Includes Late-In-Full, On-Time-Not-In-Full, and Late-Not-In-Full deliveries. Each delivery is counted only once.</t>
  </si>
  <si>
    <t>OTIF exceptions; non-compliant deliveries; all OTIF failures; combined delivery misses</t>
  </si>
  <si>
    <t>KPI OTIF: 1. Agreed quantity KG</t>
  </si>
  <si>
    <t>KPI_OTIF__1__AGREED_QUANTITY_KG</t>
  </si>
  <si>
    <t>Agreed delivery quantity in KG</t>
  </si>
  <si>
    <t>The confirmed/agreed delivery quantity in kilograms from the customer order. Reference figure for the In-Full assessment: if the actually delivered quantity is ≥ agreed quantity, the delivery is classified as "In Full".</t>
  </si>
  <si>
    <t>1994,91</t>
  </si>
  <si>
    <t>ordered quantity; requested quantity; committed quantity; quantity as agreed, volume as agreed</t>
  </si>
  <si>
    <t>KPI OTIF: Delivery Quantity KG</t>
  </si>
  <si>
    <t>KPI_OTIF__DELIVERY_QUANTITY_KG</t>
  </si>
  <si>
    <t>Actually delivered quantity in KG</t>
  </si>
  <si>
    <t>The quantity actually delivered to the customer in kilograms. Compared against the agreed quantity (Agreed Quantity KG) to determine over- or underdeliveries.</t>
  </si>
  <si>
    <t>2493,64</t>
  </si>
  <si>
    <t>delivered quantity; shipment quantity; actual quantity;  actual volume</t>
  </si>
  <si>
    <t>KPI OTIF: Overdelivery KG</t>
  </si>
  <si>
    <t>KPI_OTIF__OVERDELIVERY_KG</t>
  </si>
  <si>
    <t>Overdelivery quantity in KG</t>
  </si>
  <si>
    <t>The quantity in kilograms by which a delivery exceeds the agreed quantity. Positive deviation from the Agreed Quantity. May be classified as OTIF-compliant or non-compliant depending on the customer agreement.</t>
  </si>
  <si>
    <t>NUMBER(19,14)</t>
  </si>
  <si>
    <t>NOT NULL, numeric, max prec/scale 19/14</t>
  </si>
  <si>
    <t>excess shipment; overdelivery; extra quantity</t>
  </si>
  <si>
    <t>KPI OTIF: Qty deviation KG</t>
  </si>
  <si>
    <t>KPI_OTIF__QTY_DEVIATION_KG</t>
  </si>
  <si>
    <t>Quantity deviation in KG</t>
  </si>
  <si>
    <t>The absolute difference between the actually delivered quantity and the agreed quantity in kilograms. Positive values indicate overdelivery; negative values indicate underdelivery.</t>
  </si>
  <si>
    <t>498,73</t>
  </si>
  <si>
    <t>quantity variance; quantity deviation; delivery variance</t>
  </si>
  <si>
    <t>KPI OTIF: Underdelivery KG</t>
  </si>
  <si>
    <t>KPI_OTIF__UNDERDELIVERY_KG</t>
  </si>
  <si>
    <t>Underdelivery quantity in KG</t>
  </si>
  <si>
    <t>The quantity in kilograms by which a delivery falls short of the agreed quantity. Negative deviation from the Agreed Quantity. Leads to classification as "Not In Full" and thus to an OTIF failure.</t>
  </si>
  <si>
    <t>NUMBER(20,14)</t>
  </si>
  <si>
    <t>NOT NULL, numeric, max prec/scale 20/14</t>
  </si>
  <si>
    <t>short shipment; underdelivery; missing quantity</t>
  </si>
  <si>
    <t>21.01.2026</t>
  </si>
  <si>
    <t>Actual delivery date</t>
  </si>
  <si>
    <t>ACTUAL_DELIVERY_DATE</t>
  </si>
  <si>
    <t>The actual date on which goods arrived at the recipient (customer/plant) or are considered delivered. Recorded in the outbound delivery document and used as the actual value for OTIF measurements. May differ from the planned delivery date.</t>
  </si>
  <si>
    <t>28.01.2026</t>
  </si>
  <si>
    <t>delivery date; actual delivery; delivered date; arrival date; customer delivery date; receipt date</t>
  </si>
  <si>
    <t>AT</t>
  </si>
  <si>
    <t>Austria</t>
  </si>
  <si>
    <t>Created on</t>
  </si>
  <si>
    <t>CREATED_ON</t>
  </si>
  <si>
    <t>Creation date</t>
  </si>
  <si>
    <t>The date on which a document (e.g. order, delivery) was created in the system. Serves as a timestamp for document history and as a filter characteristic in reporting.</t>
  </si>
  <si>
    <t>01.01.2026</t>
  </si>
  <si>
    <t>creation date; created date; document creation date; order creation date; created on</t>
  </si>
  <si>
    <t>55</t>
  </si>
  <si>
    <t>PM Transportation</t>
  </si>
  <si>
    <t>504</t>
  </si>
  <si>
    <t>PM Auto Seating</t>
  </si>
  <si>
    <t>70022</t>
  </si>
  <si>
    <t>PM Auto Flex. Foam</t>
  </si>
  <si>
    <t>1100</t>
  </si>
  <si>
    <t>Delivery date plann.</t>
  </si>
  <si>
    <t>DELIVERY_DATE_PLANN_</t>
  </si>
  <si>
    <t>Planned delivery date</t>
  </si>
  <si>
    <t>The planned date resulting from delivery scheduling on which goods are expected to arrive at the customer. Calculated backwards from the customer-requested delivery date, taking into account transit times, loading times and material availability.</t>
  </si>
  <si>
    <t>19.01.2026</t>
  </si>
  <si>
    <t>planned delivery date; target delivery date; expected delivery date; requested delivery date</t>
  </si>
  <si>
    <t>Document currency</t>
  </si>
  <si>
    <t>DOCUMENT_CURRENCY</t>
  </si>
  <si>
    <t xml:space="preserve">The currency in which a document (e.g. customer order, invoice) is recorded. This is the transaction currency and may differ from the company code currency or group currency. Example: An Indian company posts a sale in the USA – document currency = USD, company code currency = INR. </t>
  </si>
  <si>
    <t>EUR</t>
  </si>
  <si>
    <t>currency; transaction currency; sales currency; invoice currency; billing currency</t>
  </si>
  <si>
    <t>Document currency2</t>
  </si>
  <si>
    <t>DOCUMENT_CURRENCY2</t>
  </si>
  <si>
    <t>Document currency (TEXT)</t>
  </si>
  <si>
    <t>Euro</t>
  </si>
  <si>
    <t>DE5058</t>
  </si>
  <si>
    <t>CVGEC</t>
  </si>
  <si>
    <t>533</t>
  </si>
  <si>
    <t>KULPS</t>
  </si>
  <si>
    <t>EMLA</t>
  </si>
  <si>
    <t>Sales office EMLA</t>
  </si>
  <si>
    <t>3924064</t>
  </si>
  <si>
    <t>Adient PLC</t>
  </si>
  <si>
    <t>PM TC SF/AS (TDI+)</t>
  </si>
  <si>
    <t>PM Auto Seating EMEA</t>
  </si>
  <si>
    <t>E020</t>
  </si>
  <si>
    <t>ARCOL POLYOL HS-200      0000,00 KG T001</t>
  </si>
  <si>
    <t>SPET</t>
  </si>
  <si>
    <t>Plan. goods is. date</t>
  </si>
  <si>
    <t>PLAN__GOODS_IS__DATE</t>
  </si>
  <si>
    <t>Planned goods issue date</t>
  </si>
  <si>
    <t>The planned date for the goods issue from the delivering plant. Calculated backwards from the delivery date in delivery scheduling, taking into account transit time and loading time. Basis for OTIF measurement (planned GI date vs. actual GI date).</t>
  </si>
  <si>
    <t>26.01.2026</t>
  </si>
  <si>
    <t>planned GI date; planned shipment date; planned goods issue; target shipment date</t>
  </si>
  <si>
    <t>ANPE</t>
  </si>
  <si>
    <t>PRD PM  PET ANT</t>
  </si>
  <si>
    <t>PET PM</t>
  </si>
  <si>
    <t>220</t>
  </si>
  <si>
    <t>PET FILLED</t>
  </si>
  <si>
    <t>21B</t>
  </si>
  <si>
    <t>PMPO BLEND FILLED</t>
  </si>
  <si>
    <t>70/06/220/21B/Not as</t>
  </si>
  <si>
    <t>Prod.Hier.622</t>
  </si>
  <si>
    <t>PROD_HIER_622</t>
  </si>
  <si>
    <t>Product hierarchy level 622</t>
  </si>
  <si>
    <t>Prod.Hier.6222</t>
  </si>
  <si>
    <t>PROD_HIER_6222</t>
  </si>
  <si>
    <t>Product hierarchy level 6222 (TEXT)</t>
  </si>
  <si>
    <t>ARCOL POLYOL HS-200</t>
  </si>
  <si>
    <t>000000000083316692</t>
  </si>
  <si>
    <t>540</t>
  </si>
  <si>
    <t>PET</t>
  </si>
  <si>
    <t>06</t>
  </si>
  <si>
    <t>Adient Automotive GmbH</t>
  </si>
  <si>
    <t>AT/Not assigned</t>
  </si>
  <si>
    <t>83316692</t>
  </si>
  <si>
    <t>KPI Sales: Delivery Quantity KG</t>
  </si>
  <si>
    <t>KPI_SALES__DELIVERY_QUANTITY_KG</t>
  </si>
  <si>
    <t>Delivery quantity in KG (sales)</t>
  </si>
  <si>
    <t>The total delivery quantity in kilograms recorded in delivery documents in the reporting period. Volume KPI in sales reporting, aggregatable by customer, product, region, etc.</t>
  </si>
  <si>
    <t>sales volume; delivered volume; shipment volume; quantity sold; order volume</t>
  </si>
  <si>
    <t>KPI Sales: Net value deliv. DC</t>
  </si>
  <si>
    <t>KPI_SALES__NET_VALUE_DELIV__DC</t>
  </si>
  <si>
    <t>Net value of delivery item in document currency</t>
  </si>
  <si>
    <t>The net value of a delivery line item in the respective document currency (DC). Starting figure for revenue analyses prior to currency conversion to EUR.</t>
  </si>
  <si>
    <t>NOT NULL, numeric, max prec/scale 12/2</t>
  </si>
  <si>
    <t>delivery value; shipment value; delivery revenue local currency</t>
  </si>
  <si>
    <t>KPI Sales: Net value delivery EUR</t>
  </si>
  <si>
    <t>KPI_SALES__NET_VALUE_DELIVERY_EUR</t>
  </si>
  <si>
    <t>Net value of delivery in EUR</t>
  </si>
  <si>
    <t>The net value of a delivery line item in EUR, converted from the document currency at the applicable posting exchange rate. Standard reporting currency for all cross-dimensional revenue and margin KPIs in reporting. Aggregatable across all dimensions (customer, product, region, period).</t>
  </si>
  <si>
    <t>delivery value EUR; shipment revenue EUR; delivered sales value</t>
  </si>
  <si>
    <t>KPI OTIF: # OT not in full</t>
  </si>
  <si>
    <t>KPI_OTIF____OT_NOT_IN_FULL</t>
  </si>
  <si>
    <t>Number of deliveries arrived on time but not in full</t>
  </si>
  <si>
    <t>Number of deliveries that were delivered on time but not in full quantity. Sub-component of the OTIF KPI for identifying quantity problems in on-time deliveries.</t>
  </si>
  <si>
    <t>on-time but incomplete deliveries; OT NIF; partial on-time deliveries; on-time short deliveries</t>
  </si>
  <si>
    <t>METRICS</t>
  </si>
  <si>
    <t>One row per metric the AI can compute. Each metric maps to a SQL pattern the AI instantiates at query time. keywords drive metric selection; critical_notes prevent common mistakes.</t>
  </si>
  <si>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</si>
  <si>
    <t>(Covestro)</t>
  </si>
  <si>
    <t>Core Filter to be used with Sales, Qunatity, Margin, but not with OTIF &amp; Receivables</t>
  </si>
  <si>
    <t>metric_name</t>
  </si>
  <si>
    <t>category</t>
  </si>
  <si>
    <t>formula</t>
  </si>
  <si>
    <t>keywords</t>
  </si>
  <si>
    <t>sql_example</t>
  </si>
  <si>
    <t>relevant_tables</t>
  </si>
  <si>
    <t>output_columns</t>
  </si>
  <si>
    <t>critical_notes</t>
  </si>
  <si>
    <t>example_args</t>
  </si>
  <si>
    <t>Var. Product Costs per kg</t>
  </si>
  <si>
    <t>Variable product costs incurred per kilogram sold. Measures production cost efficiency relative to volume. Lower values generally indicate better cost efficiency.</t>
  </si>
  <si>
    <t>Use when the question asks for analyzing production cost efficiency, cost developments, margin drivers, product profitability, or benchmarking costs across products and business units.</t>
  </si>
  <si>
    <t>(KPI COSMOS: Product Costs Var.) /  (KPI COSMOS: Gross Sales Qty (in+ex))</t>
  </si>
  <si>
    <t>Var./kg, variable cost per kg; product cost per kg; manufacturing cost per kg; production cost efficiency; cost/kg; unit production cost; variable manufacturing cost per kg; variable product cost analysis; variable cost performance</t>
  </si>
  <si>
    <t>SELECT {dimension_columns}, ROUND( SUM(cos.KPI_COSMOS__PRODUCT_COSTS__VAR) / NULLIF(SUM(cos.KPI_COSMOS__GROSS_SALES_QTY__IN_EX), 0), 2 ) AS product_costs_var_per_qty FROM cos WHERE {current_time_filter} AND cos.core_business_indicator IN ('C', 'P', 'T')  {dimension_filter_clauses} {group_by_clause} {order_by_clause} {limit_clause};</t>
  </si>
  <si>
    <t>product_costs_var_per_qty</t>
  </si>
  <si>
    <t>{"metric_name":"Product Costs Var per Qty","time_period":{"FISCAL_YEAR_PERIOD":"2025"},"dimensions":["PRODUCED_MATERIAL"],"order_by":"product_costs_var_per_qty DESC","limit":10}</t>
  </si>
  <si>
    <t>OTIF Rate</t>
  </si>
  <si>
    <t>Percentage of deliveries that were completed On Time and In Full quantity (OTIF). Measures customer service performance and supply chain reliability.</t>
  </si>
  <si>
    <t>Use when evaluating delivery performance and fulfillment quality.</t>
  </si>
  <si>
    <t>(KPI OTIF: # OTIF) / (KPI OTIF: # total deliveries) *100</t>
  </si>
  <si>
    <t>OTIF; on time and in full; delivery performance; delivery reliability; fulfillment rate; customer service KPI; logistics KPI; shipment performance, percentage of OTIF-compliant deliveries, OTIF compliance</t>
  </si>
  <si>
    <t>SELECT {dimension_columns}, ROUND( SUM(o.KPI_OTIF____OTIF) * 100.0 / NULLIF(SUM(o.KPI_OTIF____TOTAL_DELIVERIES), 0), 2 ) AS otif_rate FROM o WHERE {current_time_filter}  {dimension_filter_clauses} {group_by_clause} {order_by_clause} {limit_clause};</t>
  </si>
  <si>
    <t>otif_rate</t>
  </si>
  <si>
    <t>{"metric_name":"OTIF Rate","time_period":{"FISCAL_YEAR_PERIOD":"2025"},"dimensions":["Marketing Customer ship-to"],"order_by":"otif_rate DESC","limit":10}</t>
  </si>
  <si>
    <t>WAT Target</t>
  </si>
  <si>
    <t>Working capital</t>
  </si>
  <si>
    <t>The amount-weighted contractual payment term days (target days) of all open receivable positions at the key date</t>
  </si>
  <si>
    <t>Use when comparing the WAT compared to the target and when assessing receivables management, customer payment terms and working capital targets</t>
  </si>
  <si>
    <t>(KPI AR-KeyDate: Weighted target days) / (KPI AR-KeyDate: Amount in EUR)</t>
  </si>
  <si>
    <t>WAT target; targeted weighted average payment term; payment target days; receivables target; customer payment terms; AR target days; collection terms; working capital target</t>
  </si>
  <si>
    <t>SELECT {dimension_columns}, ROUND( SUM(kd.KPI_AR_KEYDATE__WEIGHTED_TARGET_DAYS) / NULLIF(SUM(kd.KPI_AR_KEYDATE__AMOUNT_IN_EUR), 0), 2 ) AS wat_target FROM kd WHERE {current_time_filter}  {dimension_filter_clauses} {group_by_clause} {order_by_clause} {limit_clause};</t>
  </si>
  <si>
    <t>AR-KeyDate</t>
  </si>
  <si>
    <t>wat_target</t>
  </si>
  <si>
    <t>{"metric_name":"WAT Target","time_period":{"FISCAL_YEAR_PERIOD":"2025"},"dimensions":["PRODUCED_MATERIAL"],"order_by":"wat_target DESC","limit":10}</t>
  </si>
  <si>
    <t>WOC Target</t>
  </si>
  <si>
    <t>The weighted target days for Weeks of Credit at the key date. Used as a benchmark figure against actual outstanding days.</t>
  </si>
  <si>
    <t>Use when analyzing the weeks of credit target</t>
  </si>
  <si>
    <t>(KPI AR-KeyDate: Weighted WoC Target days) / (KPI AR-KeyDate: Amount in EUR)</t>
  </si>
  <si>
    <t>weeks of credit target;WoC Target; working capital taget days</t>
  </si>
  <si>
    <t>SELECT {dimension_columns}, ROUND( SUM(kd.KPI_AR_KEYDATE__WEIGHTED_WOC_TARGET_DAYS) / NULLIF(SUM(kd.KPI_AR_KEYDATE__AMOUNT_IN_EUR), 0), 2 ) AS woc_target FROM kd WHERE {current_time_filter}  {dimension_filter_clauses} {group_by_clause} {order_by_clause} {limit_clause};</t>
  </si>
  <si>
    <t>woc_target</t>
  </si>
  <si>
    <t>{"metric_name":"WOC Target","time_period":{"FISCAL_YEAR_PERIOD":"2025"},"dimensions":["PRODUCED_MATERIAL"],"order_by":"woc_target DESC","limit":10}</t>
  </si>
  <si>
    <t>MI1 in %</t>
  </si>
  <si>
    <t>Consolidated Marginal Income I as a percentage of Net Sales</t>
  </si>
  <si>
    <t>Use when analyzing profitability and margin performance</t>
  </si>
  <si>
    <t>(KPI COSMOS: Consolidated Marginal Income I) / (KPI COSMOS: Net Sales) * 100</t>
  </si>
  <si>
    <t>MI1in % Sales; Margin I,  %; marginal income 1 percentage; contribution margin percentage; gross margin percentage; profitability ratio; margin analysis</t>
  </si>
  <si>
    <t>SELECT {dimension_columns}, ROUND(100.0 * SUM(cos.KPI_COSMOS__CONSOLIDATED_MARGIN_I) / NULLIF(SUM(cos.KPI_COSMOS__NET_SALES), 0), 2) AS m1_in_prozent FROM cos WHERE {current_time_filter} AND cos.core_business_indicator IN ('C', 'P', 'T') {dimension_filter_clauses} {group_by_clause} {order_by_clause} {limit_clause};</t>
  </si>
  <si>
    <t>m1_in_prozent</t>
  </si>
  <si>
    <t>{"metric_name":"MI1 in %","time_period":{"FISCAL_YEAR_PERIOD":"2025"},"dimensions":["PRODUCED_MATERIAL"],"order_by":"m1_in_prozent DESC","limit":10}</t>
  </si>
  <si>
    <t>Margin I per kg</t>
  </si>
  <si>
    <t>Consolidated Marginal Income I generated per kilogram sold. Shows the contribution earned for each unit of sales volume.</t>
  </si>
  <si>
    <t>Use when evaluating profitability per volume unit</t>
  </si>
  <si>
    <t>(KPI COSMOS: Consolidated Marginal Income I) / (KPI COSMOS: Gross Sales Qty (in+ex))</t>
  </si>
  <si>
    <t>MI1 per kg; margin per kg; contribution per kg; profitability per kg; earnings per kg; unit contribution margin</t>
  </si>
  <si>
    <t>SELECT {dimension_columns}, ROUND( SUM(cos.KPI_COSMOS__CONSOLIDATED_MARGIN_I) / NULLIF(SUM(cos.KPI_COSMOS__GROSS_SALES_QTY__IN_EX), 0), 2 ) AS margin_I_per_kg FROM cos WHERE {current_time_filter} AND  cos.core_business_indicator IN ('C', 'P', 'T')  {dimension_filter_clauses} {group_by_clause} {order_by_clause} {limit_clause};</t>
  </si>
  <si>
    <t xml:space="preserve"> margin_I_per_kg</t>
  </si>
  <si>
    <t>{"metric_name":"Margin I per kg","time_period":{"FISCAL_YEAR_PERIOD":"2025"},"dimensions":["PRODUCED_MATERIAL"],"order_by":"margin_I_per_kg DESC","limit":10}</t>
  </si>
  <si>
    <t>MI2a in %</t>
  </si>
  <si>
    <t>Consolidated Marginal Income IIa as a percentage of Net Sales. Reflects profitability after additional costs beyond MI1 and provides a deeper profitability view</t>
  </si>
  <si>
    <t>Use when assessing operational profitability (as of Marginal Income 2a) in comparison to Net sales</t>
  </si>
  <si>
    <t>(KPI COSMOS: Consolidated Marginal Income 2a) / (KPI COSMOS: Net Sales) * 100</t>
  </si>
  <si>
    <t>MI2a in % Sales; Margin IIa, %; marginal income 2a percentage; operating margin; profitability ratio; contribution margin 2a; net sales profitability</t>
  </si>
  <si>
    <t>SELECT {dimension_columns}, ROUND(100.0 * SUM(cos.KPI_COSMOS__CONSOLIDATED_MARGIN_IIa) / NULLIF(SUM(cos.KPI_COSMOS__NET_SALES), 0), 2) AS MI2a_in_prozent FROM cos WHERE {current_time_filter} AND  cos.core_business_indicator IN ('C', 'P', 'T')  {dimension_filter_clauses} {group_by_clause} {order_by_clause} {limit_clause};</t>
  </si>
  <si>
    <t>MI2a_in_prozent</t>
  </si>
  <si>
    <t>{"metric_name":"MI2a in %","time_period":{"FISCAL_YEAR_PERIOD":"2025"},"dimensions":["PRODUCED_MATERIAL"],"order_by":"MI2a_in_prozent DESC","limit":10}</t>
  </si>
  <si>
    <t>MI2a per kg</t>
  </si>
  <si>
    <t>Consolidated Marginal Income IIa generated per kilogram sold. Measures profitability per unit after accounting for additional cost elements included in MI2a.</t>
  </si>
  <si>
    <t>Use when comparing profitability (as of Marginal Income 2a) by volume</t>
  </si>
  <si>
    <t>(KPI COSMOS: Consolidated Marginal Income 2a) / (KPI COSMOS: Gross Sales Qty (in+ex))</t>
  </si>
  <si>
    <t>Margin 2a per kg; operating profit per kg; profitability per kg; contribution per kg; margin/kg; earnings per unit</t>
  </si>
  <si>
    <t>SELECT {dimension_columns}, ROUND( SUM(cos.KPI_COSMOS__CONSOLIDATED_MARGIN_IIa) / NULLIF(SUM(cos.KPI_COSMOS__GROSS_SALES_QTY__IN_EX), 0), 2 ) AS MI2a_per_kg FROM cos WHERE {current_time_filter} AND  cos.core_business_indicator IN ('C', 'P', 'T')  {dimension_filter_clauses} {group_by_clause} {order_by_clause} {limit_clause};</t>
  </si>
  <si>
    <t>MI2a_per_kg</t>
  </si>
  <si>
    <t>{"metric_name":"MI2a per kg","time_period":{"FISCAL_YEAR_PERIOD":"2025"},"dimensions":["PRODUCED_MATERIAL"],"order_by":"MI2a_per_kg DESC","limit":10}</t>
  </si>
  <si>
    <t>Overdue</t>
  </si>
  <si>
    <t>Estimated value of currently open receivables that have passed their due date and remain unpaid. Indicates collection issues and potential credit risk exposure.</t>
  </si>
  <si>
    <t>Use when monitoring overdue accounts, credit risk, collection performance, or receivables aging.  Use month-end dates for the most comprehensive view.</t>
  </si>
  <si>
    <t xml:space="preserve">SUM(KPI AR-KeyDate: Amount in EUR) WHERE net_due_date &lt; posting_date in the AR-KeyDate source
</t>
  </si>
  <si>
    <t>overdue receivables; overdue AR; outstanding overdue invoices; late payments; past due amount; receivables aging; collections backlog, past due date</t>
  </si>
  <si>
    <t xml:space="preserve"> SELECT
   {dimension_columns},
   ROUND(SUM(CASE WHEN TO_DATE(kd.net_due_date, 'DD.MM.YYYY') &lt; TO_DATE(kd.posting_date, 'DD.MM.YYYY')
                  THEN kd.KPI_AR_KEYDATE__AMOUNT_IN_EUR ELSE 0 END) / 1000000.0, 2) AS overdue_eur_m
 FROM kd  WHERE TO_DATE(kd.posting_date, 'DD.MM.YYYY') = TO_DATE('{as_of_date}', 'DD.MM.YYYY')
   {dimension_filter_clauses}
 {group_by_clause}
 {order_by_clause}
 {limit_clause};</t>
  </si>
  <si>
    <t>overdue_receivables_eur</t>
  </si>
  <si>
    <t>{"metric_name":"Overdue","time_period":{"FISCAL_YEAR_PERIOD":"2025"},"dimensions":["PRODUCED_MATERIAL"],"order_by":"overdue_receivables_eur DESC","limit":10}</t>
  </si>
  <si>
    <t>Not yet due</t>
  </si>
  <si>
    <t>Value of receivables that are still within their agreed payment terms and have not yet reached their due date</t>
  </si>
  <si>
    <t>Use when assessing current receivables. Use month-end dates for the most comprehensive view.</t>
  </si>
  <si>
    <t>SUM(KPI AR-KeyDate: Amount in EUR) WHERE net_due_date &gt;= posting_date</t>
  </si>
  <si>
    <t>current receivables; receivables within terms; open receivables; outstanding not overdue; current AR; receivables aging</t>
  </si>
  <si>
    <t xml:space="preserve"> SELECT   {dimension_columns},
   ROUND(SUM(CASE WHEN TO_DATE(kd.net_due_date, 'DD.MM.YYYY') &gt;= TO_DATE(kd.posting_date, 'DD.MM.YYYY')
                  THEN kd.KPI_AR_KEYDATE__AMOUNT_IN_EUR ELSE 0 END) / 1000000.0, 2) AS not_yet_due_eur_m
 FROM kd 
 WHERE 
    TO_DATE(kd.posting_date, 'DD.MM.YYYY') = TO_DATE('{as_of_date}', 'DD.MM.YYYY')
   {dimension_filter_clauses}
 {group_by_clause}
 {order_by_clause}
 {limit_clause};</t>
  </si>
  <si>
    <t>not_yet_due</t>
  </si>
  <si>
    <t>{"metric_name":"Not yet due","time_period":{"FISCAL_YEAR_PERIOD":"2025"},"dimensions":["PRODUCED_MATERIAL"],"order_by":"not_yet_due DESC","limit":10}</t>
  </si>
  <si>
    <t>% Overdue of Receivables</t>
  </si>
  <si>
    <t>Percentage of total receivables that are overdue. Measures the quality of accounts receivable and effectiveness of collection efforts</t>
  </si>
  <si>
    <t xml:space="preserve">Use when evaluating the current receivables and the corresponding overdues </t>
  </si>
  <si>
    <t>(Overdue Amount / Total Open Amount) × 100
Overdue Amount = SUM(KPI AR-KeyDate: Amount in EUR) for items where NET_DUE_DATE &lt; POSTING_DATE
Total Open Amount = SUM(KPI AR-KeyDate: Amount in EUR) for all items on that snapshot date</t>
  </si>
  <si>
    <t>overdue percentage; overdue receivables ratio; AR overdue rate; collections performance; past due percentage</t>
  </si>
  <si>
    <t xml:space="preserve"> SELECT
   {dimension_columns},
   ROUND(100.0
     * SUM(CASE WHEN TO_DATE(kd.net_due_date, 'DD.MM.YYYY') &lt; TO_DATE(kd.posting_date, 'DD.MM.YYYY')
                THEN kd.KPI_AR_KEYDATE__AMOUNT_IN_EUR ELSE 0 END)
     / NULLIF(SUM(kd.KPI_AR_KEYDATE__AMOUNT_IN_EUR), 0), 2) AS pct_overdue_of_receivables
 FROM kd 
 WHERE 
   TO_DATE(kd.posting_date, 'DD.MM.YYYY') = TO_DATE('{snapshot_date}', 'DD.MM.YYYY')
   {dimension_filter_clauses}
 {group_by_clause}
 {order_by_clause}
 {limit_clause};</t>
  </si>
  <si>
    <t>pct_overdue_of_receivables</t>
  </si>
  <si>
    <t>{"metric_name":"% Overdue of Receivables","time_period":{"FISCAL_YEAR_PERIOD":"2025"},"dimensions":["PRODUCED_MATERIAL"],"order_by":"prozent_overdue_of_receivables DESC","limit":10}</t>
  </si>
  <si>
    <t>Volume Growth (%)</t>
  </si>
  <si>
    <t>Percentage change in order volume compared with a prior period. Measures demand development</t>
  </si>
  <si>
    <t>Use when comparing order volume across two periods (e.g. June 2025 vs June 2026). Requires both time_period (current) and comparison_period (baseline).</t>
  </si>
  <si>
    <t>((KPI Sales: Delivery Quantity KG_current -KPI Sales: Delivery Quantity KG_prior) / KPI Sales: Delivery Quantity KG_prior) * 100</t>
  </si>
  <si>
    <t>order volume growth; sales volume growth; quantity growth; shipment growth; demand growth; volume trend; volume change; sales quantity increase; sales quantity decrease</t>
  </si>
  <si>
    <t>WITH totals AS (
  SELECT
    {dimension_columns},
    SUM(CASE WHEN s.ACT__GI_DAY BETWEEN TO_DATE('{current_start_date}') AND TO_DATE('{current_end_date}')
             THEN s.KPI_SALES__DELIVERY_QUANTITY_KG ELSE 0 END) AS current_total,
    SUM(CASE WHEN s.ACT__GI_DAY BETWEEN TO_DATE('{prior_start_date}') AND TO_DATE('{prior_end_date}')
             THEN s.KPI_SALES__DELIVERY_QUANTITY_KG ELSE 0 END) AS prior_total
  FROM s
  WHERE s.CORE_BUSINESS_INDICATOR IN ('C', 'P', 'T')
    AND (s.ACT__GI_DAY BETWEEN TO_DATE('{current_start_date}') AND TO_DATE('{current_end_date}')
      OR s.ACT__GI_DAY BETWEEN TO_DATE('{prior_start_date}') AND TO_DATE('{prior_end_date}'))
    {dimension_filter_clauses}
  {group_by_clause}
)
SELECT
  {dimension_columns},
  ROUND(current_total, 2) AS current_total,
  ROUND(prior_total, 2) AS prior_total,
  ROUND(current_total - prior_total, 2) AS absolute_change,
  ROUND(100.0 * (current_total - prior_total) / NULLIF(prior_total, 0), 2) AS volume_growth_prozent
FROM totals
{order_by_clause}
{limit_clause};</t>
  </si>
  <si>
    <t>current_total, prior_total, absolute_change, volume_growth_prozent</t>
  </si>
  <si>
    <t>{"metric_name":"Volume Growth (%)","time_period":{"FISCAL_YEAR_PERIOD":"2025"},"dimensions":["PRODUCED_MATERIAL"],"order_by":"volume_growth_prozent DESC","limit":10}</t>
  </si>
  <si>
    <t>Net Sales Growth (%)</t>
  </si>
  <si>
    <t>Percentage change in Net Sales between a current period and a comparable prior period (YoY, QoQ, MoM). Measures topline momentum.</t>
  </si>
  <si>
    <t>Use when comparing Net Sales across two periods (e.g. June 2025 vs June 2026). Requires both time_period (current) and comparison_period (baseline).</t>
  </si>
  <si>
    <t>(
    (KPI COPA: Net sales_current - KPI COPA: Net sales_prior)
    / KPI COPA: Net sales_prior
) * 100</t>
  </si>
  <si>
    <t>net sales growth; net sales change; growth in Net Sales; compare net sales; net sales YoY; net sales QoQ; net sales MoM; topline growth; net sales increase; net sales momentum; net sales trend; delta in net sales</t>
  </si>
  <si>
    <t>WITH totals AS (
  SELECT
    {dimension_columns},
    SUM(CASE WHEN cop.POSTING_DATE BETWEEN TO_DATE('{current_start_date}') AND TO_DATE('{current_end_date}')
             THEN cop.KPI_COPA__NET_SALES ELSE 0 END) AS current_total,
    SUM(CASE WHEN cop.POSTING_DATE BETWEEN TO_DATE('{prior_start_date}') AND TO_DATE('{prior_end_date}')
             THEN cop.KPI_COPA__NET_SALES ELSE 0 END) AS prior_total
  FROM cop
  WHERE cop.CORE_BUSINESS_INDICATOR IN ('C', 'P', 'T')
    AND (cop.POSTING_DATE BETWEEN TO_DATE('{current_start_date}') AND TO_DATE('{current_end_date}')
      OR cop.POSTING_DATE BETWEEN TO_DATE('{prior_start_date}') AND TO_DATE('{prior_end_date}'))
    {dimension_filter_clauses}
  {group_by_clause}
)
SELECT
  {dimension_columns},
  ROUND(current_total, 2) AS current_total,
  ROUND(prior_total, 2) AS prior_total,
  ROUND(current_total - prior_total, 2) AS absolute_change,
  ROUND(100.0 * (current_total - prior_total) / NULLIF(prior_total, 0), 2) AS metric_value
FROM totals
{order_by_clause}
{limit_clause};</t>
  </si>
  <si>
    <t>Copa</t>
  </si>
  <si>
    <t>current_total, comparison_total, absolute_change</t>
  </si>
  <si>
    <t>WITHIN-YEAR QoQ (same year, different quarters): Do NOT use this metric — it compares to prior year's same quarter. Use net sales with sequential_delta=true and quarter in dimensions instead. MULTI-YEAR TREND (3+ years): Use net sales with sequential_delta=true, not this metric. Always present all four output columns: current_total, comparison_total, absolute_change, metric_value (%).</t>
  </si>
  <si>
    <t>{"metric_name":"net sales Growth (%)","time_period":{"fiscal_year":"2024"},"comparison_period":{"fiscal_year":"2023"},"dimensions":["region_name"],"order_by":"absolute_change DESC"}</t>
  </si>
  <si>
    <t>Selling Price</t>
  </si>
  <si>
    <t>Average net selling price per unit (kg) sold. Measures realized pricing and supports pricing strategy</t>
  </si>
  <si>
    <t>Use when analyzing pricing performance, price realization, price changes, product mix effects, and driver of net sales &amp; order volume</t>
  </si>
  <si>
    <t>(KPI COPA: Net sales) / (KPI COPA: Gross Sales Qty)</t>
  </si>
  <si>
    <t>selling price; average selling price; ASP; price per kg; realized price; sales price; unit price; net price; pricing analysis; pricing KPI</t>
  </si>
  <si>
    <t>SELECT
{dimension_columns},
ROUND(
SUM(cop.KPI_COPA__NET_SALES)
/
NULLIF(SUM(cop.KPI_COPA__GROSS_SALES_QTY), 0),
2
) AS selling_price
FROM cop
WHERE
{current_time_filter}
AND cop.core_business_indicator IN ('C', 'P', 'T')
{dimension_filter_clauses}
{group_by_clause}
{order_by_clause}
{limit_clause};</t>
  </si>
  <si>
    <t>selling_price</t>
  </si>
  <si>
    <t>{"metric_name":"Selling Price","time_period":{"FISCAL_YEAR_PERIOD":"2025"},"dimensions":["PRODUCED_MATERIAL"],"order_by":"selling_price DESC","limit":10}</t>
  </si>
  <si>
    <t>Receivables</t>
  </si>
  <si>
    <t>Total currently-open receivables amount in EUR as of a specific reporting date, taken directly from the AR-KeyDate daily snapshot. AR-KeyDate records only items that are OPEN (unpaid) on each snapshot date.</t>
  </si>
  <si>
    <t xml:space="preserve">Use when analyzing total accounts receivable exposure, outstanding customer balances, receivables stock, working capital tied up in customers, customer credit exposure, or regional/customer-level AR balances at a specific reporting date. Do not use for collection performance or payment behavior trends over time; use AR-PM metrics instead. </t>
  </si>
  <si>
    <t>SUM(KPI AR-KeyDate: Amount in EUR)</t>
  </si>
  <si>
    <t>SELECT
{dimension_columns},
ROUND(SUM(kd.KPI_AR_KEYDATE__AMOUNT_IN_EUR) / 1000000.0, 2) AS receivables_eur_m
 FROM kd 
 WHERE  TO_DATE(kd.posting_date, 'DD.MM.YYYY') = TO_DATE('{snapshot_date}', 'DD.MM.YYYY')
  {dimension_filter_clauses}
{group_by_clause}
{order_by_clause}
 {limit_clause};</t>
  </si>
  <si>
    <t>{"metric_name": "Receivables", "time_period": {"FISCAL_YEAR_PERIOD": "2025"}, "dimensions": ["PRODUCED_MATERIAL"], "order_by": "receivables_eur DESC", "limit": 10}</t>
  </si>
  <si>
    <t>Line items</t>
  </si>
  <si>
    <t xml:space="preserve">Use when analyzing the number of open receivables, invoice volume, customer open-item exposure, receivables portfolio size, or as a denominator for weighted AR calculations. Do not use as a measure of monetary exposure. </t>
  </si>
  <si>
    <t>SUM(KPI AR-KeyDate: Counter)</t>
  </si>
  <si>
    <t xml:space="preserve"> SELECT
   {dimension_columns},
   ROUND(SUM(kd.KPI_AR_KEYDATE__COUNTER), 2) AS line_items
 FROM kd 
 WHERE 
   TO_DATE(kd.posting_date, 'DD.MM.YYYY') = TO_DATE('{snapshot_date}', 'DD.MM.YYYY')
   {dimension_filter_clauses}
 {group_by_clause}
 {order_by_clause}
 {limit_clause};</t>
  </si>
  <si>
    <t xml:space="preserve">Net value of billing item </t>
  </si>
  <si>
    <t>The net value of each billing item/invoice in document currency. This is the original invoice amount before currency conversion to EUR.</t>
  </si>
  <si>
    <t xml:space="preserve">Use when analyzing invoice-level receivables values, billing values in document currency, or when calculating weighted working-capital metrics such as WAT and WoC. Do not use for consolidated reporting in EUR. </t>
  </si>
  <si>
    <t>SUM(KPI AR-KeyDate: Net Value of Billing Item (DC))</t>
  </si>
  <si>
    <t xml:space="preserve">
SELECT {dimension_columns}, ROUND(SUM(kd.KPI_AR_KEYDATE__NET_VALUE_OF_BILLING_DC ), 2) AS net_value_billing FROM kd  WHERE  TO_DATE(kd.posting_date, 'DD.MM.YYYY') = TO_DATE('{snapshot_date}', 'DD.MM.YYYY') {dimension_filter_clauses} {group_by_clause} {order_by_clause} {limit_clause};</t>
  </si>
  <si>
    <t>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t>
  </si>
  <si>
    <t xml:space="preserve">Use when evaluating target payment terms, benchmark credit conditions, contractual customer payment agreements, or working-capital targets. Useful for comparing actual receivables performance against target conditions. </t>
  </si>
  <si>
    <t>SELECT KPI_AR_KEYDATE__WEIGHTED_WOC_TARGET_DAYS FROM kd</t>
  </si>
  <si>
    <t>This is a raw building-block metric — WEIGHTED_WOC_T is pre-multiplied (Amount × days). To get the actual WoC Target in days, divide by Amount. This is what WOC Target metric already does. Consider noting "This is the raw pre-weighted value. Divide by Amount in EUR to get WoC Target in days." in the description.</t>
  </si>
  <si>
    <t>Weighted target days</t>
  </si>
  <si>
    <t>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t>
  </si>
  <si>
    <t xml:space="preserve">Use when analyzing average contractual payment terms across a receivables portfolio, customer term structures, or WAT calculations. Do not use to assess actual payment behavior. </t>
  </si>
  <si>
    <t>SELECT KPI_AR_KEYDATE__WEIGHTED_TARGET_DAYS FROM kd</t>
  </si>
  <si>
    <t>This is a raw building-block metric — WEIGHTED_TARGET_DAYS is pre-multiplied (Amount × days). To get the actual Wwighted Target in days, divide by Amount. This is what  WAT Target metric already does. Consider noting "This is the raw pre-weighted value. Divide by Amount in EUR to get WoC Target in days." in the description.</t>
  </si>
  <si>
    <t>Receivables - PM</t>
  </si>
  <si>
    <t xml:space="preserve">Use when monitoring receivables performance over a reporting period, evaluating working-capital performance, or tracking AR trends over time. Do not use for balance-sheet snapshots at a specific key date. </t>
  </si>
  <si>
    <t>SUM(KPI AR-PM: Amount EUR)</t>
  </si>
  <si>
    <t>SELECT {dimension_columns}, ROUND(SUM(f.KPI_AR_PM__AMOUNT_EUR) / 1000000.0, 2) AS receivables_pm_eur_m FROM pm f WHERE TO_DATE(f.posting_date, 'DD.MM.YYYY') &gt;= DATE_TRUNC('month', TO_DATE('{as_of_date}', 'DD.MM.YYYY')) AND TO_DATE(f.posting_date, 'DD.MM.YYYY') &lt;= TO_DATE('{as_of_date}', 'DD.MM.YYYY') {dimension_filter_clauses} {group_by_clause} {order_by_clause} {limit_clause};</t>
  </si>
  <si>
    <t>AR-PM</t>
  </si>
  <si>
    <t>Line items - PM</t>
  </si>
  <si>
    <t>Number of receivable line items cleared in the reporting period. Serves as the volume basis for AR-PM weighted calculations.</t>
  </si>
  <si>
    <t xml:space="preserve">Use when analyzing the volume of receivable positions in period-based AR performance reporting or when calculating weighted average AR indicators. Do not use for monetary analyses. </t>
  </si>
  <si>
    <t>SUM(KPI AR-PM: Counter)</t>
  </si>
  <si>
    <t>SELECT {dimension_columns}, ROUND(SUM(f.KPI_AR_PM__COUNTER), 0) AS line_items_pm FROM pm f WHERE  TO_DATE(f.posting_date, 'DD.MM.YYYY') &gt;= DATE_TRUNC('month', TO_DATE('{as_of_date}', 'DD.MM.YYYY')) AND TO_DATE(f.posting_date, 'DD.MM.YYYY') &lt;= TO_DATE('{as_of_date}', 'DD.MM.YYYY') {dimension_filter_clauses} {group_by_clause} {order_by_clause} {limit_clause};</t>
  </si>
  <si>
    <t>WoC Target Days - PM</t>
  </si>
  <si>
    <t>The amount-weighted Weeks-of-Credit target days for cleared receivables. Represents the internal working capital benchmark (typically WAT + processing buffer). Used alongside WoC Deviation to assess whether actual collection aligns with working capital plans.</t>
  </si>
  <si>
    <t xml:space="preserve"> Use when evaluating working capital targets on cleared items, comparing actual collection against internal WoC benchmarks, or as the denominator for WoC Deviation analysis. 
 </t>
  </si>
  <si>
    <t>(KPI AR-PM: Weighted WoC Target Days) / (KPI AR-PM: Amount EUR)</t>
  </si>
  <si>
    <t>weeks of credit target for clear receivables</t>
  </si>
  <si>
    <t>SELECT {dimension_columns}, ROUND(SUM(f.KPI_AR_PM__WEIGHTED_WOC_TARGET_DAYS) / NULLIF(SUM(f.KPI_AR_PM__AMOUNT_EUR), 0), 2) AS woc_target_pm
                 FROM pm f
                 WHERE
                   TO_DATE(f.posting_date, 'DD.MM.YYYY') 
                       &gt;= DATE_TRUNC('month', TO_DATE('{as_of_date}', 'DD.MM.YYYY'))
                   AND TO_DATE(f.posting_date, 'DD.MM.YYYY') 
                       &lt;= TO_DATE('{as_of_date}', 'DD.MM.YYYY')
                   {dimension_filter_clauses}
                 {group_by_clause}
                 {order_by_clause}
                 {limit_clause};</t>
  </si>
  <si>
    <t>woc_target_pm</t>
  </si>
  <si>
    <t>WoC deviation from target -PM</t>
  </si>
  <si>
    <t xml:space="preserve">Use when evaluating whether actual customer payment performance exceeds or misses working-capital targets. Useful for working-capital reviews, collection management, and AR performance monitoring. Positive values indicate deterioration versus target. </t>
  </si>
  <si>
    <t>SELECT {dimension_columns}, ROUND(SUM(f.KPI_AR_PM__DIFF_WOC_TARGET) ) AS woc_deviation_per_item FROM pm f WHERE  TO_DATE(f.posting_date, 'DD.MM.YYYY') &gt;= DATE_TRUNC('month', TO_DATE('{as_of_date}', 'DD.MM.YYYY')) AND TO_DATE(f.posting_date, 'DD.MM.YYYY') &lt;= TO_DATE('{as_of_date}', 'DD.MM.YYYY') {dimension_filter_clauses} {group_by_clause} {order_by_clause} {limit_clause};</t>
  </si>
  <si>
    <t>Effective days outstanding- PM</t>
  </si>
  <si>
    <t>The amount-weighted average number of days between invoice creation and payment. EDO = WAT + WDD (contractual terms + delay). The primary KPI for actual collection speed on cleared items.</t>
  </si>
  <si>
    <t xml:space="preserve">Use when measuring actual weighted customer payment duration, operational DSO performance, collection effectiveness, or customer payment behavior. Use as the primary KPI for outstanding receivables duration. </t>
  </si>
  <si>
    <t>SUM(KPI AR-PM: EDO (Effective Days Outstanding) × KPI AR-PM: Amount EUR) / SUM(KPI AR-PM: Amount EUR)</t>
  </si>
  <si>
    <t>SELECT {dimension_columns},
  ROUND(SUM(pm.kpi_ar_pm__edo__effective_days_outstanding * pm.kpi_ar_pm__amount_eur) / NULLIF(SUM(pm.kpi_ar_pm__amount_eur), 0), 2) AS edo
FROM pm
WHERE 
  {current_time_filter}
  {dimension_filter_clauses}
{group_by_clause}
{order_by_clause}
{limit_clause};</t>
  </si>
  <si>
    <t>Performance days -PM</t>
  </si>
  <si>
    <t xml:space="preserve">Use when assessing the full end-to-end receivables cycle from invoice creation to payment, including payment delays and internal processing delays. Useful for operational AR efficiency analysis. </t>
  </si>
  <si>
    <t>SUM(KPI AR-PM: Performance Days × KPI AR-PM: Amount EUR) / SUM(KPI AR-PM: Amount EUR)</t>
  </si>
  <si>
    <t>SELECT {dimension_columns},
  ROUND(SUM(pm.kpi_ar_pm__performance_days * pm.kpi_ar_pm__amount_eur) / NULLIF(SUM(pm.kpi_ar_pm__amount_eur), 0), 2) AS performance_days
FROM pm 
WHERE 
  {current_time_filter}
  {dimension_filter_clauses}
{group_by_clause}
{order_by_clause}
{limit_clause};</t>
  </si>
  <si>
    <t>Posting days -PM</t>
  </si>
  <si>
    <t>The amount-weighted average number of days of internal administrative/posting delay between the clearing event and its posting date. Represents internal process efficiency, not customer behavior.</t>
  </si>
  <si>
    <t xml:space="preserve">Use when investigating internal administrative delays, delayed posting processes, or accounting process efficiency. Do not use to evaluate customer payment behavior. </t>
  </si>
  <si>
    <t>SUM(KPI AR-PM: Posting Days × KPI AR-PM: Amount EUR) / SUM(KPI AR-PM: Amount EUR)</t>
  </si>
  <si>
    <t>SELECT {dimension_columns},
  ROUND(SUM(pm.kpi_ar_pm__posting_days * pm.kpi_ar_pm__amount_eur) / NULLIF(SUM(pm.kpi_ar_pm__amount_eur), 0), 2) AS posting_days
FROM pm 
WHERE 
  {current_time_filter}
  {dimension_filter_clauses}
{group_by_clause}
{order_by_clause}
{limit_clause};</t>
  </si>
  <si>
    <t>WAT Target - PM</t>
  </si>
  <si>
    <t>WAT = Weighted Average Terms. The amount-weighted contractual payment term days of cleared receivables in a period. Example: WAT of 38.1 days means contractual terms averaged 38.1 days for items paid in that period. A strategic KPI in Working Capital Management.</t>
  </si>
  <si>
    <t xml:space="preserve">Use when analyzing contractual payment terms, customer credit conditions, payment-term negotiations, or strategic working-capital management. </t>
  </si>
  <si>
    <t>(KPI AR-PM: Weighted target days) / (KPI AR-PM: Amount EUR)</t>
  </si>
  <si>
    <t>SELECT {dimension_columns},
  ROUND(SUM(pm.kpi_ar_pm__weighted_target_days) / NULLIF(SUM(pm.kpi_ar_pm__amount_eur), 0), 2) AS wat_receivables
FROM pm 
WHERE 
   {current_time_filter}
  {dimension_filter_clauses}
{group_by_clause}
{order_by_clause}
{limit_clause};</t>
  </si>
  <si>
    <t>Weighted delay days -PM</t>
  </si>
  <si>
    <t>WDD = Weighted Delay Days. Indicates the amount-weighted average days of delay beyond the agreed payment term. A WDD of 5.2 days means that customers pay on average 5.2 days after the due date. An operational KPI in the Working Capital Framework. Formula: EDO − WAT = WDD.</t>
  </si>
  <si>
    <t xml:space="preserve">Use when evaluating how late customers pay relative to agreed payment terms. Useful for collection effectiveness reviews, overdue payment analyses, and customer payment discipline assessments. </t>
  </si>
  <si>
    <t>SUM(KPI AR-PM: Weighted days late) / SUM(KPI AR-PM: Amount EUR)</t>
  </si>
  <si>
    <t>SELECT {dimension_columns},
  ROUND(SUM(pm.kpi_ar_pm__weighted_days_late) / NULLIF(SUM(pm.kpi_ar_pm__amount_eur), 0), 2) AS wdd
FROM pm 
WHERE 
  {current_time_filter}
  {dimension_filter_clauses}
{group_by_clause}
{order_by_clause}
{limit_clause};</t>
  </si>
  <si>
    <t xml:space="preserve">Use when analyzing invoiced sales volume, sales quantities, volume growth, product demand, customer volume, or pricing calculations. </t>
  </si>
  <si>
    <t>SELECT KPI_COPA__GROSS_SALES_QTY FROM cop</t>
  </si>
  <si>
    <t xml:space="preserve">Use when analyzing total invoiced revenue before discounts, rebates, bonuses, and deductions. Useful for topline sales analysis and revenue bridge calculations. </t>
  </si>
  <si>
    <t>SELECT KPI_COPA__GROSS_SALES FROM cop</t>
  </si>
  <si>
    <t xml:space="preserve">Use when analyzing realized revenue after sales deductions and adjustments. Suitable for commercial performance reporting and revenue quality analyses. </t>
  </si>
  <si>
    <t>SELECT KPI_COPA__NET_PROCEEDS FROM cop</t>
  </si>
  <si>
    <t xml:space="preserve">Use when analyzing net commercial revenue, revenue growth, sales performance, and selling-price calculations. </t>
  </si>
  <si>
    <t>SELECT KPI_COPA__NET_SALES FROM cop</t>
  </si>
  <si>
    <t xml:space="preserve">Use when investigating revenue corrections, pricing changes, retrospective settlements, quantity corrections, or commercial accounting adjustments. </t>
  </si>
  <si>
    <t>SELECT KPI_COPA__SALES_ADJUSTMENTS FROM cop</t>
  </si>
  <si>
    <t xml:space="preserve">Use when analyzing discounts, rebates, commissions, bonus programs, and commercial deductions impacting revenue realization. </t>
  </si>
  <si>
    <t>SELECT KPI_COPA__SALES_DEDUCTIONS FROM cop</t>
  </si>
  <si>
    <t xml:space="preserve">Consolidated marginal income I </t>
  </si>
  <si>
    <t xml:space="preserve">Use when analyzing contribution margin before fixed manufacturing costs, portfolio profitability, pricing decisions, commercial profitability, customer profitability, or product profitability. </t>
  </si>
  <si>
    <t>SELECT KPI_COSMOS__SALES_DEDUCTIONS FROM cos</t>
  </si>
  <si>
    <t xml:space="preserve">Consolidated marginal income II a </t>
  </si>
  <si>
    <t xml:space="preserve">Use when analyzing profitability after fixed manufacturing costs, operational profitability, business performance, and profitability comparisons between products, regions, or customers. </t>
  </si>
  <si>
    <t>MI2a; marginal income 2a; contribution margin 2a; margin 2a</t>
  </si>
  <si>
    <t>SELECT KPI_COSMOS__CONSOLIDATED_MARGIN_IIa FROM cos</t>
  </si>
  <si>
    <t xml:space="preserve">Use when analyzing consolidated external revenue across the enterprise, especially for management reporting and consolidated sales performance reviews. </t>
  </si>
  <si>
    <t>SELECT KPI_COSMOS__GROSS_SALES FROM cos</t>
  </si>
  <si>
    <t xml:space="preserve">Use when analyzing total consolidated volume including intercompany transactions, volume development, or unit cost calculations such as cost per kg and margin per kg. </t>
  </si>
  <si>
    <t>SELECT KPI_COSMOS__GROSS_SALES_QTY__IN_EX FROM cos</t>
  </si>
  <si>
    <t xml:space="preserve">Use when evaluating consolidated realized revenue after deductions and adjustments. Useful for profitability bridges and management reporting. </t>
  </si>
  <si>
    <t>SELECT KPI_COSMOS__NET_PROCEEDS FROM cos</t>
  </si>
  <si>
    <t xml:space="preserve">Use when evaluating consolidated revenue performance in profitability reporting and management reporting environments. Preferred revenue KPI for COSMOS profitability analyses. </t>
  </si>
  <si>
    <t>SELECT KPI_COSMOS__NET_SALES FROM cos</t>
  </si>
  <si>
    <t>Variable product costs</t>
  </si>
  <si>
    <t xml:space="preserve">Use when analyzing production cost efficiency, manufacturing cost development, cost inflation, cost management, and profitability drivers. </t>
  </si>
  <si>
    <t>SELECT KPI_COSMOS__PRODUCT_COSTS__VAR FROM cos</t>
  </si>
  <si>
    <t>Sales Adjustments (COSMOS)</t>
  </si>
  <si>
    <t xml:space="preserve">Use when assessing consolidated revenue corrections and adjustment impacts on profitability. Useful for variance explanations in management reporting. </t>
  </si>
  <si>
    <t>sales adjustments; revenue corrections</t>
  </si>
  <si>
    <t>SELECT KPI_COSMOS__SALES_ADJUSTMENTS FROM cos</t>
  </si>
  <si>
    <t xml:space="preserve">Use when analyzing rebate effects, discounts, commissions, and revenue deductions in consolidated profitability reporting. </t>
  </si>
  <si>
    <t>Total fixed manufacturing costs</t>
  </si>
  <si>
    <t>The consolidated fixed production costs (DPC, fixed) of all client companies involved in manufacturing. Include fixed direct product costs along the entire internal value chain (Manufacturing Company A → B → Sales Company C). Relevant for the calculation of consolidated marginal income II (MI2).</t>
  </si>
  <si>
    <t xml:space="preserve">Use when evaluating manufacturing cost absorption, plant cost efficiency, fixed production cost structures, and MI2 profitability development. </t>
  </si>
  <si>
    <t>SELECT KPI_COSMOS__TOTAL_MANUFACTURING FROM cos</t>
  </si>
  <si>
    <t>On-time but incomplete deliveries</t>
  </si>
  <si>
    <t xml:space="preserve">Use when identifying deliveries that met delivery timing commitments but failed quantity commitments. Useful for root-cause analysis of OTIF failures and supply-chain fulfillment issues. </t>
  </si>
  <si>
    <t>incomplete deliveries; not in full deliveries</t>
  </si>
  <si>
    <t>SELECT KPI_OTIF____OT_NOT_IN_FULL FROM o</t>
  </si>
  <si>
    <t>OTIF-compliant deliveries</t>
  </si>
  <si>
    <t xml:space="preserve">Use when measuring successful deliveries that were both on time and in full. Primary numerator for OTIF analysis and customer service performance reporting. </t>
  </si>
  <si>
    <t>SELECT KPI_OTIF____OTIF FROM o</t>
  </si>
  <si>
    <t>Deliveries with late goods issue</t>
  </si>
  <si>
    <t xml:space="preserve">Use when identifying warehouse, production, or dispatch delays that contribute to OTIF failures. Useful for supply-chain root-cause analyses. </t>
  </si>
  <si>
    <t>deliveries with with GI delay</t>
  </si>
  <si>
    <t>SELECT KPI_OTIF____LATE_GI FROM o</t>
  </si>
  <si>
    <t>Late and complete deliveries</t>
  </si>
  <si>
    <t xml:space="preserve">Use when analyzing schedule adherence issues where quantity fulfillment was achieved but delivery timing was missed. </t>
  </si>
  <si>
    <t>late in full; delayed complete deliveries</t>
  </si>
  <si>
    <t>SELECT KPI_OTIF____LATE_IF FROM o</t>
  </si>
  <si>
    <t>Late and not-in-full deliveries (NIF)</t>
  </si>
  <si>
    <t xml:space="preserve">Use when identifying the most severe OTIF failures involving both timing and quantity issues. Useful for escalation and service-level reviews. </t>
  </si>
  <si>
    <t>late not in full; delayed incomplete deliveries</t>
  </si>
  <si>
    <t>SELECT KPI_OTIF____LATE_NIF FROM o</t>
  </si>
  <si>
    <t>Deliveries with late order creation</t>
  </si>
  <si>
    <t xml:space="preserve">Use when investigating order-management process delays and administrative causes of OTIF underperformance. </t>
  </si>
  <si>
    <t>deliveries with order creation delay; deliveries with late order creation</t>
  </si>
  <si>
    <t>SELECT KPI_OTIF____LATE_CREATE FROM o</t>
  </si>
  <si>
    <t>Deliveries with transport delay</t>
  </si>
  <si>
    <t xml:space="preserve">Use when assessing carrier performance, transportation reliability, logistics provider quality, or transport-related service failures. </t>
  </si>
  <si>
    <t>SELECT KPI_OTIF____LATE_TRANSPORT FROM o</t>
  </si>
  <si>
    <t>Incomplete deliveries</t>
  </si>
  <si>
    <t xml:space="preserve">Use when monitoring quantity fulfillment performance and identifying product shortages or allocation issues. </t>
  </si>
  <si>
    <t>SELECT KPI_OTIF____NOT_IN_FULL FROM o</t>
  </si>
  <si>
    <t>On-time deliveries</t>
  </si>
  <si>
    <t xml:space="preserve">Use when measuring delivery punctuality regardless of delivered quantity. Useful for logistics performance reviews. </t>
  </si>
  <si>
    <t>on-time deliveries; punctual deliveries</t>
  </si>
  <si>
    <t>SELECT KPI_OTIF____ON_TIME FROM o</t>
  </si>
  <si>
    <t>Total deliveries</t>
  </si>
  <si>
    <t xml:space="preserve">Use as the denominator for OTIF calculations and when analyzing delivery volumes, shipment counts, or logistics workloads. </t>
  </si>
  <si>
    <t>SELECT KPI_OTIF____TOTAL_DELIVERIES FROM o</t>
  </si>
  <si>
    <t>Total late deliveries</t>
  </si>
  <si>
    <t xml:space="preserve">Use when monitoring delivery punctuality issues and logistics service failures. Useful for customer service reporting. </t>
  </si>
  <si>
    <t>late deliveries; delayed shipments</t>
  </si>
  <si>
    <t>SELECT KPI_OTIF____TOTAL_LATE FROM o</t>
  </si>
  <si>
    <t>Total late and/or incomplete deliveries</t>
  </si>
  <si>
    <t xml:space="preserve">Use when assessing all delivery failures regardless of whether the issue was timing, quantity, or both. Useful for OTIF exception analysis. </t>
  </si>
  <si>
    <t>OTIF exceptions; non-compliant deliveries</t>
  </si>
  <si>
    <t>SELECT KPI_OTIF____TOTAL_LATE_OT_NIF FROM o</t>
  </si>
  <si>
    <t>Agreed delivery quantity</t>
  </si>
  <si>
    <t xml:space="preserve">Use when analyzing customer order commitments and when comparing ordered versus delivered quantities in fulfillment analyses. </t>
  </si>
  <si>
    <t>SELECT KPI_OTIF__1__AGREED_QUANTITY_KG FROM o</t>
  </si>
  <si>
    <t>Actually delivered quantity</t>
  </si>
  <si>
    <t xml:space="preserve">Use when evaluating actual shipment volumes, fulfillment levels, and delivery performance against customer commitments. </t>
  </si>
  <si>
    <t>SELECT KPI_OTIF__DELIVERY_QUANTITY_KG FROM o</t>
  </si>
  <si>
    <t xml:space="preserve">Overdelivery quantity </t>
  </si>
  <si>
    <t xml:space="preserve">Use when analyzing excessive deliveries, fulfillment deviations, or customer oversupply situations. </t>
  </si>
  <si>
    <t>SELECT KPI_OTIF__OVERDELIVERY_KG FROM o</t>
  </si>
  <si>
    <t xml:space="preserve">Quantity deviation </t>
  </si>
  <si>
    <t xml:space="preserve">Use when evaluating delivery accuracy and identifying fulfillment deviations from agreed customer quantities. </t>
  </si>
  <si>
    <t>SELECT KPI_OTIF__QTY_DEVIATION_KG FROM o</t>
  </si>
  <si>
    <t xml:space="preserve">Underdelivery quantity </t>
  </si>
  <si>
    <t xml:space="preserve">Use when identifying shortages, fulfillment gaps, customer service failures, and causes of OTIF misses. </t>
  </si>
  <si>
    <t>SELECT KPI_OTIF__UNDERDELIVERY_KG FROM o</t>
  </si>
  <si>
    <t>Order Volume</t>
  </si>
  <si>
    <t xml:space="preserve">Use when analyzing sales volume, shipment volume, customer demand, volume growth, product demand trends, or regional sales quantities. </t>
  </si>
  <si>
    <t>SELECT KPI_SALES__DELIVERY_QUANTITY_KG FROM s</t>
  </si>
  <si>
    <t>Net value of delivery item</t>
  </si>
  <si>
    <t xml:space="preserve">Use when analyzing delivery-level revenue in original transaction currency, invoice values before currency conversion, or local-currency shipment values. Do not use for consolidated management reporting across countries. </t>
  </si>
  <si>
    <t xml:space="preserve">Question BP: do we need this KPI as we said to have only one currency (EUR)
</t>
  </si>
  <si>
    <t>Net value of delivery</t>
  </si>
  <si>
    <t xml:space="preserve">Use when analyzing shipment revenue, order fulfillment value, customer delivery value, or revenue by product, customer, region, and period in EUR. Preferred delivery-value KPI for cross-country reporting. </t>
  </si>
  <si>
    <t>SELECT KPI_SALES__NET_VALUE_DELIVERY_EUR FROM s</t>
  </si>
  <si>
    <t>🟡 Yellow rows = example metrics from product reference model. SQL uses {placeholders} resolved at runtime. Replace with your client's metric definitions before use.</t>
  </si>
  <si>
    <t>GROUND TRUTH — ASK ZORA</t>
  </si>
  <si>
    <t>One row per question-answer pair. These are the verified examples the AI uses to validate its behaviour. The more complete and accurate these rows are, the better the AI performs.</t>
  </si>
  <si>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</si>
  <si>
    <t>id</t>
  </si>
  <si>
    <t>sample_question</t>
  </si>
  <si>
    <t>source_tables</t>
  </si>
  <si>
    <t>calculation_logic</t>
  </si>
  <si>
    <t>metric_used</t>
  </si>
  <si>
    <t>sql_query</t>
  </si>
  <si>
    <t>expected_answer</t>
  </si>
  <si>
    <t>comments</t>
  </si>
  <si>
    <t>What was Var. Product Costs per kg for COSMOS in FY2025?</t>
  </si>
  <si>
    <t>COSMOS (cos)</t>
  </si>
  <si>
    <t>1) Read from the COSMOS table (cos) , filtered to core_business_indicator IN (C,P,T). 2) Restrict calendar_day to 2025-01-01..2025-12-31. 3) SUM(kpi_cosmos__product_costs__var) / SUM(KPI_COSMOS__GROSS_SALES_QTY__IN_EX).</t>
  </si>
  <si>
    <t>SELECT ROUND(SUM(cos.kpi_cosmos__product_costs__var) / NULLIF(SUM(cos.KPI_COSMOS__GROSS_SALES_QTY__IN_EX), 0), 2) AS metric_value
FROM cos
WHERE cos.calendar_day BETWEEN '2025-01-01' AND '2025-12-31'
  AND cos.core_business_indicator IN ('C', 'P', 'T');</t>
  </si>
  <si>
    <t>4.61 EUR/kg</t>
  </si>
  <si>
    <t>Filtered to Core Business Indicator IN ('C','P','T') per the client's core-filter rule for Sales/Quantity/Margin metrics.</t>
  </si>
  <si>
    <t>Show me Var. Product Costs per kg by material for Q2 2026, top 8</t>
  </si>
  <si>
    <t>1) Read from the COSMOS table (cos) , filtered to core_business_indicator IN (C,P,T). 2) Restrict calendar_day to 2026-04-01..2026-06-30. 3) GROUP BY material. 4) SUM(kpi_cosmos__product_costs__var)/SUM(KPI_COSMOS__GROSS_SALES_QTY__IN_EX) per group. 5) Sort descending, top 8.</t>
  </si>
  <si>
    <t>SELECT cos.material2, ROUND(SUM(cos.kpi_cosmos__product_costs__var) / NULLIF(SUM(cos.KPI_COSMOS__GROSS_SALES_QTY__IN_EX), 0), 2) AS metric_value
FROM cos
WHERE cos.calendar_day BETWEEN '2026-04-01' AND '2026-06-30'
  AND cos.core_business_indicator IN ('C', 'P', 'T')
GROUP BY cos.material2
ORDER BY metric_value DESC
LIMIT 8;</t>
  </si>
  <si>
    <t>M.WB1239P       550360            FB080W: 5.67; DESMODUR T 80-CN         0250,00 KG B13: 5.35; MONDUR TD 80 GRADE A     0000,00 KG R001: 5.27; DESMODUR T 80            0000,00 KG T01: 5.25; MONDUR TD 80 GRADE A     0000,00 KG T001: 5.06; M.LED2245P      000000            BK150W: 4.99; SODIUM HYDRXD 50%NON NSF 0000,00 KG T001: 4.88; DESMODUR L 75 (C)-CN     0225,00 KG B01: 4.87</t>
  </si>
  <si>
    <t>What was Var. Product Costs per kg for COSMOS in H1 2026?</t>
  </si>
  <si>
    <t>1) Read from the COSMOS table (cos) , filtered to core_business_indicator IN (C,P,T). 2) Restrict calendar_day to 2026-01-01..2026-06-30. 3) SUM(kpi_cosmos__product_costs__var) / SUM(KPI_COSMOS__GROSS_SALES_QTY__IN_EX).</t>
  </si>
  <si>
    <t>SELECT ROUND(SUM(cos.kpi_cosmos__product_costs__var) / NULLIF(SUM(cos.KPI_COSMOS__GROSS_SALES_QTY__IN_EX), 0), 2) AS metric_value
FROM cos
WHERE cos.calendar_day BETWEEN '2026-01-01' AND '2026-06-30'
  AND cos.core_business_indicator IN ('C', 'P', 'T');</t>
  </si>
  <si>
    <t>4.58 EUR/kg</t>
  </si>
  <si>
    <t>Show me Var. Product Costs per kg by plant for H1 2025, top 8</t>
  </si>
  <si>
    <t>1) Read from the COSMOS table (cos) , filtered to core_business_indicator IN (C,P,T). 2) Restrict calendar_day to 2025-01-01..2025-06-30. 3) GROUP BY plant. 4) SUM(kpi_cosmos__product_costs__var)/SUM(KPI_COSMOS__GROSS_SALES_QTY__IN_EX) per group. 5) Sort descending, top 8.</t>
  </si>
  <si>
    <t>SELECT cos.plant2, ROUND(SUM(cos.kpi_cosmos__product_costs__var) / NULLIF(SUM(cos.KPI_COSMOS__GROSS_SALES_QTY__IN_EX), 0), 2) AS metric_value
FROM cos
WHERE cos.calendar_day BETWEEN '2025-01-01' AND '2025-06-30'
  AND cos.core_business_indicator IN ('C', 'P', 'T')
GROUP BY cos.plant2
ORDER BY metric_value DESC
LIMIT 8;</t>
  </si>
  <si>
    <t>DCRP MUSTERSERVICE D: 5.04; PRD EP  CPD FLG: 5.00; PRD PM  WS CAO: 4.88; Not assigned: 4.72; PRD PM  MDI TRAIN CA: 4.66; DCRP TOTAL DIST COLU: 4.43; PRD EP  CPD CAO B8KB: 4.41; PRD EP  CPD GUA 4AAB: 4.33</t>
  </si>
  <si>
    <t>What was OTIF Rate for OTIF in last 12 months?</t>
  </si>
  <si>
    <t>OTIF (o)</t>
  </si>
  <si>
    <t>1) Read from the OTIF table (o). 2) Restrict act__gi_day to 2025-08-15..2026-08-14. 3) 100 x SUM(kpi_otif____otif) / SUM(kpi_otif____total_deliveries).</t>
  </si>
  <si>
    <t>SELECT ROUND(100.0 * SUM(o.kpi_otif____otif) / NULLIF(SUM(o.kpi_otif____total_deliveries), 0), 2) AS metric_value
FROM o
WHERE o.act__gi_day BETWEEN '2025-08-15' AND '2026-08-14';</t>
  </si>
  <si>
    <t>No core_business_indicator filter, per client instruction (applies to OTIF and Working Capital / AR metrics).</t>
  </si>
  <si>
    <t>Show me OTIF Rate by region for FY2025, top 8</t>
  </si>
  <si>
    <t>1) Read from the OTIF table (o). 2) Restrict act__gi_day to 2025-01-01..2025-12-31. 3) GROUP BY region. 4) 100 x SUM(kpi_otif____otif)/SUM(kpi_otif____total_deliveries) per group. 5) Sort descending, top 8.</t>
  </si>
  <si>
    <t>SELECT o.region_sold_to2, ROUND(100.0 * SUM(o.kpi_otif____otif) / NULLIF(SUM(o.kpi_otif____total_deliveries), 0), 2) AS metric_value
FROM o
WHERE o.act__gi_day BETWEEN '2025-01-01' AND '2025-12-31'
GROUP BY o.region_sold_to2
ORDER BY metric_value DESC
LIMIT 8;</t>
  </si>
  <si>
    <t>Not assigned: 85.00%; EMEA: 81.28%; NA: 79.92%; APAC: 79.79%</t>
  </si>
  <si>
    <t>What was OTIF Rate for OTIF in Q2 2026?</t>
  </si>
  <si>
    <t>1) Read from the OTIF table (o). 2) Restrict act__gi_day to 2026-04-01..2026-06-30. 3) 100 x SUM(kpi_otif____otif) / SUM(kpi_otif____total_deliveries).</t>
  </si>
  <si>
    <t>SELECT ROUND(100.0 * SUM(o.kpi_otif____otif) / NULLIF(SUM(o.kpi_otif____total_deliveries), 0), 2) AS metric_value
FROM o
WHERE o.act__gi_day BETWEEN '2026-04-01' AND '2026-06-30';</t>
  </si>
  <si>
    <t>What was WAT Target for AR-KeyDate in FY2025?</t>
  </si>
  <si>
    <t>AR-KeyDate (kd)</t>
  </si>
  <si>
    <t>1) Read from the AR-KeyDate table (kd). 2) Restrict posting_date to 2025-01-01..2025-12-31. 3) SUM(KPI_AR_KEYDATE__WEIGHTED_TARGET_DAYS) / SUM(kpi_ar_keydate__amount_in_eur).</t>
  </si>
  <si>
    <t>SELECT ROUND(SUM(kd.KPI_AR_KEYDATE__WEIGHTED_TARGET_DAYS) / NULLIF(SUM(kd.kpi_ar_keydate__amount_in_eur), 0), 2) AS metric_value
FROM kd
WHERE kd.posting_date BETWEEN '2025-01-01' AND '2025-12-31';</t>
  </si>
  <si>
    <t>47.62 days</t>
  </si>
  <si>
    <t>Show me WAT Target by region for H1 2026, top 8</t>
  </si>
  <si>
    <t>1) Read from the AR-KeyDate table (kd). 2) Restrict posting_date to 2026-01-01..2026-06-30. 3) GROUP BY region. 4) SUM(KPI_AR_KEYDATE__WEIGHTED_TARGET_DAYS)/SUM(kpi_ar_keydate__amount_in_eur) per group. 5) Sort descending, top 8.</t>
  </si>
  <si>
    <t>SELECT kd.region_sold_to2, ROUND(SUM(kd.KPI_AR_KEYDATE__WEIGHTED_TARGET_DAYS) / NULLIF(SUM(kd.kpi_ar_keydate__amount_in_eur), 0), 2) AS metric_value
FROM kd
WHERE kd.posting_date BETWEEN '2026-01-01' AND '2026-06-30'
GROUP BY kd.region_sold_to2
ORDER BY metric_value DESC
LIMIT 8;</t>
  </si>
  <si>
    <t>NA: 58.82; EMEA: 57.73; APAC: 37.85; Not assigned: 30.00</t>
  </si>
  <si>
    <t>What was WAT Target for AR-KeyDate in last 12 months?</t>
  </si>
  <si>
    <t>1) Read from the AR-KeyDate table (kd). 2) Restrict posting_date to 2025-08-15..2026-08-14. 3) SUM(KPI_AR_KEYDATE__WEIGHTED_TARGET_DAYS) / SUM(kpi_ar_keydate__amount_in_eur).</t>
  </si>
  <si>
    <t>SELECT ROUND(SUM(kd.KPI_AR_KEYDATE__WEIGHTED_TARGET_DAYS) / NULLIF(SUM(kd.kpi_ar_keydate__amount_in_eur), 0), 2) AS metric_value
FROM kd
WHERE kd.posting_date BETWEEN '2025-08-15' AND '2026-08-14';</t>
  </si>
  <si>
    <t>47.40 days</t>
  </si>
  <si>
    <t>Show me WAT Target by company for Q1 2026, top 8</t>
  </si>
  <si>
    <t>1) Read from the AR-KeyDate table (kd). 2) Restrict posting_date to 2026-01-01..2026-03-31. 3) GROUP BY company. 4) SUM(KPI_AR_KEYDATE__WEIGHTED_TARGET_DAYS)/SUM(kpi_ar_keydate__amount_in_eur) per group. 5) Sort descending, top 8.</t>
  </si>
  <si>
    <t>SELECT kd.company_code2, ROUND(SUM(kd.KPI_AR_KEYDATE__WEIGHTED_TARGET_DAYS) / NULLIF(SUM(kd.kpi_ar_keydate__amount_in_eur), 0), 2) AS metric_value
FROM kd
WHERE kd.posting_date BETWEEN '2026-01-01' AND '2026-03-31'
GROUP BY kd.company_code2
ORDER BY metric_value DESC
LIMIT 8;</t>
  </si>
  <si>
    <t>Covestro Guangzhou/C: 46.94; Covestro Resins(Fosh: 45.76; Covestro Polymers (C: 45.26; Covestro (Thailand): 44.13</t>
  </si>
  <si>
    <t>What was WOC Target for AR-KeyDate in FY2025?</t>
  </si>
  <si>
    <t>1) Read from the AR-KeyDate table (kd). 2) Restrict posting_date to 2025-01-01..2025-12-31. 3) SUM(kpi_ar_keydate__weighted_woc_target_days) / SUM(kpi_ar_keydate__amount_in_eur).</t>
  </si>
  <si>
    <t>SELECT ROUND(SUM(kd.kpi_ar_keydate__weighted_woc_target_days) / NULLIF(SUM(kd.kpi_ar_keydate__amount_in_eur), 0), 2) AS metric_value
FROM kd
WHERE kd.posting_date BETWEEN '2025-01-01' AND '2025-12-31';</t>
  </si>
  <si>
    <t>19.59 days</t>
  </si>
  <si>
    <t>Show me WOC Target by company for H1 2026, top 8</t>
  </si>
  <si>
    <t>1) Read from the AR-KeyDate table (kd). 2) Restrict posting_date to 2026-01-01..2026-06-30. 3) GROUP BY company. 4) SUM(kpi_ar_keydate__weighted_woc_target_days)/SUM(kpi_ar_keydate__amount_in_eur) per group. 5) Sort descending, top 8.</t>
  </si>
  <si>
    <t>SELECT kd.company_code2, ROUND(SUM(kd.kpi_ar_keydate__weighted_woc_target_days) / NULLIF(SUM(kd.kpi_ar_keydate__amount_in_eur), 0), 2) AS metric_value
FROM kd
WHERE kd.posting_date BETWEEN '2026-01-01' AND '2026-06-30'
GROUP BY kd.company_code2
ORDER BY metric_value DESC
LIMIT 8;</t>
  </si>
  <si>
    <t>Covestro Resins(Fosh: 19.82; Covestro (Thailand): 19.34; Covestro Polymers (C: 19.31; Covestro Guangzhou/C: 18.22</t>
  </si>
  <si>
    <t>What was WOC Target for AR-KeyDate in last 12 months?</t>
  </si>
  <si>
    <t>1) Read from the AR-KeyDate table (kd). 2) Restrict posting_date to 2025-08-15..2026-08-14. 3) SUM(kpi_ar_keydate__weighted_woc_target_days) / SUM(kpi_ar_keydate__amount_in_eur).</t>
  </si>
  <si>
    <t>SELECT ROUND(SUM(kd.kpi_ar_keydate__weighted_woc_target_days) / NULLIF(SUM(kd.kpi_ar_keydate__amount_in_eur), 0), 2) AS metric_value
FROM kd
WHERE kd.posting_date BETWEEN '2025-08-15' AND '2026-08-14';</t>
  </si>
  <si>
    <t>19.46 days</t>
  </si>
  <si>
    <t>Show me WOC Target by region for Q2 2025, top 8</t>
  </si>
  <si>
    <t>1) Read from the AR-KeyDate table (kd). 2) Restrict posting_date to 2025-04-01..2025-06-30. 3) GROUP BY region. 4) SUM(kpi_ar_keydate__weighted_woc_target_days)/SUM(kpi_ar_keydate__amount_in_eur) per group. 5) Sort descending, top 8.</t>
  </si>
  <si>
    <t>SELECT kd.region_sold_to2, ROUND(SUM(kd.kpi_ar_keydate__weighted_woc_target_days) / NULLIF(SUM(kd.kpi_ar_keydate__amount_in_eur), 0), 2) AS metric_value
FROM kd
WHERE kd.posting_date BETWEEN '2025-04-01' AND '2025-06-30'
GROUP BY kd.region_sold_to2
ORDER BY metric_value DESC
LIMIT 8;</t>
  </si>
  <si>
    <t>NA: 22.98; Not assigned: 21.00; EMEA: 18.46; APAC: 17.94</t>
  </si>
  <si>
    <t>What was MI1 in % for COSMOS in FY2025?</t>
  </si>
  <si>
    <t>1) Read from the COSMOS table (cos) , filtered to core_business_indicator IN (C,P,T). 2) Restrict calendar_day to 2025-01-01..2025-12-31. 3) 100 x SUM(KPI_COSMOS__CONSOLIDATED_MARGIN_I) / SUM(kpi_cosmos__net_sales).</t>
  </si>
  <si>
    <t>SELECT ROUND(100.0 * SUM(cos.KPI_COSMOS__CONSOLIDATED_MARGIN_I) / NULLIF(SUM(cos.kpi_cosmos__net_sales), 0), 2) AS metric_value
FROM cos
WHERE cos.calendar_day BETWEEN '2025-01-01' AND '2025-12-31'
  AND cos.core_business_indicator IN ('C', 'P', 'T');</t>
  </si>
  <si>
    <t>Show me MI1 in % by material for Q2 2026, top 8</t>
  </si>
  <si>
    <t>1) Read from the COSMOS table (cos) , filtered to core_business_indicator IN (C,P,T). 2) Restrict calendar_day to 2026-04-01..2026-06-30. 3) GROUP BY material. 4) 100 x SUM(KPI_COSMOS__CONSOLIDATED_MARGIN_I)/SUM(kpi_cosmos__net_sales) per group. 5) Sort descending, top 8.</t>
  </si>
  <si>
    <t>SELECT cos.material2, ROUND(100.0 * SUM(cos.KPI_COSMOS__CONSOLIDATED_MARGIN_I) / NULLIF(SUM(cos.kpi_cosmos__net_sales), 0), 2) AS metric_value
FROM cos
WHERE cos.calendar_day BETWEEN '2026-04-01' AND '2026-06-30'
  AND cos.core_business_indicator IN ('C', 'P', 'T')
GROUP BY cos.material2
ORDER BY metric_value DESC
LIMIT 8;</t>
  </si>
  <si>
    <t>MONDUR 489               0000,00 KG T001: 41.99%; M.2405C         901510   MAS048   SASIWL: 41.25%; DESMODUR T 80            0250,00 KG DR17: 40.39%; DESMODUR 44 V 70 L       0000,00 KG T01: 40.27%; M.LED2245P      000000            BK150W: 40.27%; MONDUR TD 80 GRADE A     0000,00 KG R001: 40.20%; M.2805P CN      550115            BK150W: 40.19%; M.AL2447P       550396            FA080M: 40.12%</t>
  </si>
  <si>
    <t>What was MI1 in % for COSMOS in H1 2026?</t>
  </si>
  <si>
    <t>1) Read from the COSMOS table (cos) , filtered to core_business_indicator IN (C,P,T). 2) Restrict calendar_day to 2026-01-01..2026-06-30. 3) 100 x SUM(KPI_COSMOS__CONSOLIDATED_MARGIN_I) / SUM(kpi_cosmos__net_sales).</t>
  </si>
  <si>
    <t>SELECT ROUND(100.0 * SUM(cos.KPI_COSMOS__CONSOLIDATED_MARGIN_I) / NULLIF(SUM(cos.kpi_cosmos__net_sales), 0), 2) AS metric_value
FROM cos
WHERE cos.calendar_day BETWEEN '2026-01-01' AND '2026-06-30'
  AND cos.core_business_indicator IN ('C', 'P', 'T');</t>
  </si>
  <si>
    <t>Show me MI1 in % by marketing segment for H1 2025, top 8</t>
  </si>
  <si>
    <t>1) Read from the COSMOS table (cos) , filtered to core_business_indicator IN (C,P,T). 2) Restrict calendar_day to 2025-01-01..2025-06-30. 3) GROUP BY marketing segment. 4) 100 x SUM(KPI_COSMOS__CONSOLIDATED_MARGIN_I)/SUM(kpi_cosmos__net_sales) per group. 5) Sort descending, top 8.</t>
  </si>
  <si>
    <t>SELECT cos.marketing_level_02, ROUND(100.0 * SUM(cos.KPI_COSMOS__CONSOLIDATED_MARGIN_I) / NULLIF(SUM(cos.kpi_cosmos__net_sales), 0), 2) AS metric_value
FROM cos
WHERE cos.calendar_day BETWEEN '2025-01-01' AND '2025-06-30'
  AND cos.core_business_indicator IN ('C', 'P', 'T')
GROUP BY cos.marketing_level_02
ORDER BY metric_value DESC
LIMIT 8;</t>
  </si>
  <si>
    <t>CA: 40.72%; EP: 39.46%; PM: 39.43%</t>
  </si>
  <si>
    <t>What was Margin I per kg for COSMOS in FY2025?</t>
  </si>
  <si>
    <t>1) Read from the COSMOS table (cos) , filtered to core_business_indicator IN (C,P,T). 2) Restrict calendar_day to 2025-01-01..2025-12-31. 3) SUM(KPI_COSMOS__CONSOLIDATED_MARGIN_I) / SUM(KPI_COSMOS__GROSS_SALES_QTY__IN_EX).</t>
  </si>
  <si>
    <t>SELECT ROUND(SUM(cos.KPI_COSMOS__CONSOLIDATED_MARGIN_I) / NULLIF(SUM(cos.KPI_COSMOS__GROSS_SALES_QTY__IN_EX), 0), 2) AS metric_value
FROM cos
WHERE cos.calendar_day BETWEEN '2025-01-01' AND '2025-12-31'
  AND cos.core_business_indicator IN ('C', 'P', 'T');</t>
  </si>
  <si>
    <t>3.08 EUR/kg</t>
  </si>
  <si>
    <t>Show me Margin I per kg by material for Q1 2026, top 8</t>
  </si>
  <si>
    <t>1) Read from the COSMOS table (cos) , filtered to core_business_indicator IN (C,P,T). 2) Restrict calendar_day to 2026-01-01..2026-03-31. 3) GROUP BY material. 4) SUM(KPI_COSMOS__CONSOLIDATED_MARGIN_I)/SUM(KPI_COSMOS__GROSS_SALES_QTY__IN_EX) per group. 5) Sort descending, top 8.</t>
  </si>
  <si>
    <t>SELECT cos.material2, ROUND(SUM(cos.KPI_COSMOS__CONSOLIDATED_MARGIN_I) / NULLIF(SUM(cos.KPI_COSMOS__GROSS_SALES_QTY__IN_EX), 0), 2) AS metric_value
FROM cos
WHERE cos.calendar_day BETWEEN '2026-01-01' AND '2026-03-31'
  AND cos.core_business_indicator IN ('C', 'P', 'T')
GROUP BY cos.material2
ORDER BY metric_value DESC
LIMIT 8;</t>
  </si>
  <si>
    <t>ARCOL POLYOL 1108        0000,00 KG T01: 4.11; B.T65XF         901510            BE100W: 3.77; M.LED2245P      000000            BK150W: 3.63; M.2405C         901510   MAS048   SASIWL: 3.61; MONDUR TD 80 GRADE A     0000,00 KG R001: 3.51; M.WB1239P       550360            FB080W: 3.39; SODIUMHYDROXIDE LIQ.50%  0000,00 KG T01: 3.36; M.2405C         901510            US2215: 3.25</t>
  </si>
  <si>
    <t>What was Margin I per kg for COSMOS in last 12 months?</t>
  </si>
  <si>
    <t>1) Read from the COSMOS table (cos) , filtered to core_business_indicator IN (C,P,T). 2) Restrict calendar_day to 2025-08-15..2026-08-14. 3) SUM(KPI_COSMOS__CONSOLIDATED_MARGIN_I) / SUM(KPI_COSMOS__GROSS_SALES_QTY__IN_EX).</t>
  </si>
  <si>
    <t>SELECT ROUND(SUM(cos.KPI_COSMOS__CONSOLIDATED_MARGIN_I) / NULLIF(SUM(cos.KPI_COSMOS__GROSS_SALES_QTY__IN_EX), 0), 2) AS metric_value
FROM cos
WHERE cos.calendar_day BETWEEN '2025-08-15' AND '2026-08-14'
  AND cos.core_business_indicator IN ('C', 'P', 'T');</t>
  </si>
  <si>
    <t>3.07 EUR/kg</t>
  </si>
  <si>
    <t>Show me Margin I per kg by plant for H2 2025, top 8</t>
  </si>
  <si>
    <t>1) Read from the COSMOS table (cos) , filtered to core_business_indicator IN (C,P,T). 2) Restrict calendar_day to 2025-07-01..2025-12-31. 3) GROUP BY plant. 4) SUM(KPI_COSMOS__CONSOLIDATED_MARGIN_I)/SUM(KPI_COSMOS__GROSS_SALES_QTY__IN_EX) per group. 5) Sort descending, top 8.</t>
  </si>
  <si>
    <t>SELECT cos.plant2, ROUND(SUM(cos.KPI_COSMOS__CONSOLIDATED_MARGIN_I) / NULLIF(SUM(cos.KPI_COSMOS__GROSS_SALES_QTY__IN_EX), 0), 2) AS metric_value
FROM cos
WHERE cos.calendar_day BETWEEN '2025-07-01' AND '2025-12-31'
  AND cos.core_business_indicator IN ('C', 'P', 'T')
GROUP BY cos.plant2
ORDER BY metric_value DESC
LIMIT 8;</t>
  </si>
  <si>
    <t>DCRP TOTAL DIST COLU: 3.38; PRD PM  WS CAO: 3.29; PRD PM  MDI TRAIN CA: 3.25; PRD EP  CPD GUA 4AAB: 3.16; PRD EP  CPD MTP THAB: 3.11; PRD EP  CPD CAO B8KB: 3.09; DCRP MUSTERSERVICE D: 3.08; Not assigned: 2.97</t>
  </si>
  <si>
    <t>What was MI2a in % for COSMOS in FY2025?</t>
  </si>
  <si>
    <t>1) Read from the COSMOS table (cos) , filtered to core_business_indicator IN (C,P,T). 2) Restrict calendar_day to 2025-01-01..2025-12-31. 3) 100 x SUM(KPI_COSMOS__CONSOLIDATED_MARGIN_IIa) / SUM(kpi_cosmos__net_sales).</t>
  </si>
  <si>
    <t>SELECT ROUND(100.0 * SUM(cos.KPI_COSMOS__CONSOLIDATED_MARGIN_IIa) / NULLIF(SUM(cos.kpi_cosmos__net_sales), 0), 2) AS metric_value
FROM cos
WHERE cos.calendar_day BETWEEN '2025-01-01' AND '2025-12-31'
  AND cos.core_business_indicator IN ('C', 'P', 'T');</t>
  </si>
  <si>
    <t>Show me MI2a in % by region for Q2 2026, top 8</t>
  </si>
  <si>
    <t>1) Read from the COSMOS table (cos) , filtered to core_business_indicator IN (C,P,T). 2) Restrict calendar_day to 2026-04-01..2026-06-30. 3) GROUP BY region. 4) 100 x SUM(KPI_COSMOS__CONSOLIDATED_MARGIN_IIa)/SUM(kpi_cosmos__net_sales) per group. 5) Sort descending, top 8.</t>
  </si>
  <si>
    <t>SELECT cos.region_sold_to2, ROUND(100.0 * SUM(cos.KPI_COSMOS__CONSOLIDATED_MARGIN_IIa) / NULLIF(SUM(cos.kpi_cosmos__net_sales), 0), 2) AS metric_value
FROM cos
WHERE cos.calendar_day BETWEEN '2026-04-01' AND '2026-06-30'
  AND cos.core_business_indicator IN ('C', 'P', 'T')
GROUP BY cos.region_sold_to2
ORDER BY metric_value DESC
LIMIT 8;</t>
  </si>
  <si>
    <t>APAC: 41.68%; EMEA: 41.62%; NA: 41.44%; Not assigned: 40.12%</t>
  </si>
  <si>
    <t>What was MI2a in % for COSMOS in H1 2026?</t>
  </si>
  <si>
    <t>1) Read from the COSMOS table (cos) , filtered to core_business_indicator IN (C,P,T). 2) Restrict calendar_day to 2026-01-01..2026-06-30. 3) 100 x SUM(KPI_COSMOS__CONSOLIDATED_MARGIN_IIa) / SUM(kpi_cosmos__net_sales).</t>
  </si>
  <si>
    <t>SELECT ROUND(100.0 * SUM(cos.KPI_COSMOS__CONSOLIDATED_MARGIN_IIa) / NULLIF(SUM(cos.kpi_cosmos__net_sales), 0), 2) AS metric_value
FROM cos
WHERE cos.calendar_day BETWEEN '2026-01-01' AND '2026-06-30'
  AND cos.core_business_indicator IN ('C', 'P', 'T');</t>
  </si>
  <si>
    <t>Show me MI2a in % by company for H1 2025, top 8</t>
  </si>
  <si>
    <t>1) Read from the COSMOS table (cos) , filtered to core_business_indicator IN (C,P,T). 2) Restrict calendar_day to 2025-01-01..2025-06-30. 3) GROUP BY company. 4) 100 x SUM(KPI_COSMOS__CONSOLIDATED_MARGIN_IIa)/SUM(kpi_cosmos__net_sales) per group. 5) Sort descending, top 8.</t>
  </si>
  <si>
    <t>SELECT cos.company_code2, ROUND(100.0 * SUM(cos.KPI_COSMOS__CONSOLIDATED_MARGIN_IIa) / NULLIF(SUM(cos.kpi_cosmos__net_sales), 0), 2) AS metric_value
FROM cos
WHERE cos.calendar_day BETWEEN '2025-01-01' AND '2025-06-30'
  AND cos.core_business_indicator IN ('C', 'P', 'T')
GROUP BY cos.company_code2
ORDER BY metric_value DESC
LIMIT 8;</t>
  </si>
  <si>
    <t>Covestro (Thailand): 42.03%; Covestro Guangzhou/C: 41.67%; Covestro Polymers (C: 41.43%; Covestro Resins(Fosh: 41.39%</t>
  </si>
  <si>
    <t>What was MI2a per kg for COSMOS in FY2025?</t>
  </si>
  <si>
    <t>1) Read from the COSMOS table (cos) , filtered to core_business_indicator IN (C,P,T). 2) Restrict calendar_day to 2025-01-01..2025-12-31. 3) SUM(KPI_COSMOS__CONSOLIDATED_MARGIN_IIa) / SUM(KPI_COSMOS__GROSS_SALES_QTY__IN_EX).</t>
  </si>
  <si>
    <t>SELECT ROUND(SUM(cos.KPI_COSMOS__CONSOLIDATED_MARGIN_IIa) / NULLIF(SUM(cos.KPI_COSMOS__GROSS_SALES_QTY__IN_EX), 0), 2) AS metric_value
FROM cos
WHERE cos.calendar_day BETWEEN '2025-01-01' AND '2025-12-31'
  AND cos.core_business_indicator IN ('C', 'P', 'T');</t>
  </si>
  <si>
    <t>3.24 EUR/kg</t>
  </si>
  <si>
    <t>Show me MI2a per kg by material for Q1 2026, top 8</t>
  </si>
  <si>
    <t>1) Read from the COSMOS table (cos) , filtered to core_business_indicator IN (C,P,T). 2) Restrict calendar_day to 2026-01-01..2026-03-31. 3) GROUP BY material. 4) SUM(KPI_COSMOS__CONSOLIDATED_MARGIN_IIa)/SUM(KPI_COSMOS__GROSS_SALES_QTY__IN_EX) per group. 5) Sort descending, top 8.</t>
  </si>
  <si>
    <t>SELECT cos.material2, ROUND(SUM(cos.KPI_COSMOS__CONSOLIDATED_MARGIN_IIa) / NULLIF(SUM(cos.KPI_COSMOS__GROSS_SALES_QTY__IN_EX), 0), 2) AS metric_value
FROM cos
WHERE cos.calendar_day BETWEEN '2026-01-01' AND '2026-03-31'
  AND cos.core_business_indicator IN ('C', 'P', 'T')
GROUP BY cos.material2
ORDER BY metric_value DESC
LIMIT 8;</t>
  </si>
  <si>
    <t>ARCOL POLYOL 1108        0000,00 KG T01: 4.12; B.T65XF         901510            BE100W: 4.12; M.2405C         901510   MAS048   SASIWL: 3.73; M.LED2245P      000000            BK150W: 3.67; M.WB1239P       550360            FB080W: 3.56; MONDUR TD 80 GRADE A     0000,00 KG R001: 3.55; SODIUMHYDROXIDE LIQ.50%  0000,00 KG T01: 3.50; M.2405C         901510            US2215: 3.43</t>
  </si>
  <si>
    <t>What was MI2a per kg for COSMOS in last 12 months?</t>
  </si>
  <si>
    <t>1) Read from the COSMOS table (cos) , filtered to core_business_indicator IN (C,P,T). 2) Restrict calendar_day to 2025-08-15..2026-08-14. 3) SUM(KPI_COSMOS__CONSOLIDATED_MARGIN_IIa) / SUM(KPI_COSMOS__GROSS_SALES_QTY__IN_EX).</t>
  </si>
  <si>
    <t>SELECT ROUND(SUM(cos.KPI_COSMOS__CONSOLIDATED_MARGIN_IIa) / NULLIF(SUM(cos.KPI_COSMOS__GROSS_SALES_QTY__IN_EX), 0), 2) AS metric_value
FROM cos
WHERE cos.calendar_day BETWEEN '2025-08-15' AND '2026-08-14'
  AND cos.core_business_indicator IN ('C', 'P', 'T');</t>
  </si>
  <si>
    <t>3.22 EUR/kg</t>
  </si>
  <si>
    <t>Show me MI2a per kg by customer channel for H2 2025, top 8</t>
  </si>
  <si>
    <t>1) Read from the COSMOS table (cos) , filtered to core_business_indicator IN (C,P,T). 2) Restrict calendar_day to 2025-07-01..2025-12-31. 3) GROUP BY customer channel. 4) SUM(KPI_COSMOS__CONSOLIDATED_MARGIN_IIa)/SUM(KPI_COSMOS__GROSS_SALES_QTY__IN_EX) per group. 5) Sort descending, top 8.</t>
  </si>
  <si>
    <t>SELECT cos.customer_channel2, ROUND(SUM(cos.KPI_COSMOS__CONSOLIDATED_MARGIN_IIa) / NULLIF(SUM(cos.KPI_COSMOS__GROSS_SALES_QTY__IN_EX), 0), 2) AS metric_value
FROM cos
WHERE cos.calendar_day BETWEEN '2025-07-01' AND '2025-12-31'
  AND cos.core_business_indicator IN ('C', 'P', 'T')
GROUP BY cos.customer_channel2
ORDER BY metric_value DESC
LIMIT 8;</t>
  </si>
  <si>
    <t>DIR-LT Long Tail (direct): 4.27; IN-PLA TransPlant: 4.09; DIR-KA Large Account: 3.40; DIR-Direct: 3.14; IN-DIS Distributor: 1.79</t>
  </si>
  <si>
    <t>What is the total value of overdue receivables as of end of 2025?</t>
  </si>
  <si>
    <t>1) Restrict to Net due date &lt; as_of_date. 2) SUM(Amount in EUR).</t>
  </si>
  <si>
    <t>SELECT ROUND(SUM(CASE WHEN TO_DATE(f.net_due_date, 'DD.MM.YYYY') &lt; TO_DATE(f.posting_date, 'DD.MM.YYYY')
                      THEN f.KPI_AR_KEYDATE__AMOUNT_IN_EUR ELSE 0 END), 2) AS overdue_eur
FROM kd f
WHERE TO_DATE(f.posting_date, 'DD.MM.YYYY') = TO_DATE('31.12.2025', 'DD.MM.YYYY');</t>
  </si>
  <si>
    <t xml:space="preserve">EUR 0.00 </t>
  </si>
  <si>
    <t>What is the total value of overdue receivables as of end of Q2 2026?</t>
  </si>
  <si>
    <t>SELECT ROUND(SUM(CASE WHEN TO_DATE(f.net_due_date, 'DD.MM.YYYY') &lt; TO_DATE(f.posting_date, 'DD.MM.YYYY')
                      THEN f.KPI_AR_KEYDATE__AMOUNT_IN_EUR ELSE 0 END), 2) AS overdue_eur
FROM kd f
WHERE 
  TO_DATE(f.posting_date, 'DD.MM.YYYY') = TO_DATE('30.06.2026', 'DD.MM.YYYY');</t>
  </si>
  <si>
    <t>What is the value of receivables that are open but not yet due as of end of 2025?</t>
  </si>
  <si>
    <t>1) Same open-item proxy. 2) Restrict to Net due date &gt;= as_of_date. 3) SUM(Amount in EUR).</t>
  </si>
  <si>
    <t>SELECT ROUND(SUM(CASE WHEN TO_DATE(f.net_due_date, 'DD.MM.YYYY') &gt;= TO_DATE(f.posting_date, 'DD.MM.YYYY')
                      THEN f.KPI_AR_KEYDATE__AMOUNT_IN_EUR ELSE 0 END), 2) AS not_yet_due_eur
FROM kd f
WHERE
  TO_DATE(f.posting_date, 'DD.MM.YYYY') = TO_DATE('31.12.2025', 'DD.MM.YYYY');</t>
  </si>
  <si>
    <t>EUR 92,597.09</t>
  </si>
  <si>
    <t>Same open-item proxy as Overdue.</t>
  </si>
  <si>
    <t>What is the value of receivables that are open but not yet due as of 30 June 2026?</t>
  </si>
  <si>
    <t xml:space="preserve">SELECT ROUND(SUM(CASE WHEN TO_DATE(f.net_due_date, 'DD.MM.YYYY') &gt;= TO_DATE(f.posting_date, 'DD.MM.YYYY')
                      THEN f.KPI_AR_KEYDATE__AMOUNT_IN_EUR ELSE 0 END), 2) AS not_yet_due_eur
FROM kd f
WHERE 
 TO_DATE(f.posting_date, 'DD.MM.YYYY') = TO_DATE('30.06.2026', 'DD.MM.YYYY');
</t>
  </si>
  <si>
    <t>EUR 162,858.55</t>
  </si>
  <si>
    <t>What is the value of receivables that are open but not yet due as of 14 August 2026?</t>
  </si>
  <si>
    <t>SELECT ROUND(SUM(CASE WHEN TO_DATE(f.net_due_date, 'DD.MM.YYYY') &gt;= TO_DATE(f.posting_date, 'DD.MM.YYYY')
                      THEN f.KPI_AR_KEYDATE__AMOUNT_IN_EUR ELSE 0 END), 2) AS not_yet_due_eur
FROM kd f
WHERE 
  TO_DATE(f.posting_date, 'DD.MM.YYYY') = TO_DATE('14.08.2026', 'DD.MM.YYYY');</t>
  </si>
  <si>
    <t>EUR 184,835.27</t>
  </si>
  <si>
    <t>What percentage of our open receivables is overdue as of end of 2025?</t>
  </si>
  <si>
    <t>1) Open-item proxy. 2) Overdue amount (due &lt; as_of) / total open amount x 100.</t>
  </si>
  <si>
    <t>SELECT ROUND(100.0 * SUM(CASE WHEN TO_DATE(f.net_due_date, 'DD.MM.YYYY') &lt; TO_DATE(f.posting_date, 'DD.MM.YYYY')
                              THEN f.KPI_AR_KEYDATE__AMOUNT_IN_EUR ELSE 0 END)
  / NULLIF(SUM(f.KPI_AR_KEYDATE__AMOUNT_IN_EUR), 0), 2) AS pct_overdue
FROM kd f
WHERE 
  TO_DATE(f.posting_date, 'DD.MM.YYYY') = TO_DATE('31.12.2025', 'DD.MM.YYYY');</t>
  </si>
  <si>
    <t>Numerator and denominator both restricted to the open-item proxy population.</t>
  </si>
  <si>
    <t>What percentage of our open receivables is overdue as of 31 March 2026?</t>
  </si>
  <si>
    <t>SELECT ROUND(100.0 * SUM(CASE WHEN TO_DATE(f.net_due_date, 'DD.MM.YYYY') &lt; TO_DATE(f.posting_date, 'DD.MM.YYYY')
                              THEN f.KPI_AR_KEYDATE__AMOUNT_IN_EUR ELSE 0 END)
  / NULLIF(SUM(f.KPI_AR_KEYDATE__AMOUNT_IN_EUR), 0), 2) AS pct_overdue
FROM kd f
WHERE 
  TO_DATE(f.posting_date, 'DD.MM.YYYY') = TO_DATE('31.03.2026', 'DD.MM.YYYY');</t>
  </si>
  <si>
    <t>How did order volume change from H1 2025 to H1 2026?</t>
  </si>
  <si>
    <t>Sales (s)</t>
  </si>
  <si>
    <t>1) SUM(kpi_sales__delivery_quantity_kg) from the Sales table (s) in H1 2025. 2) Same for H1 2026. 3) Absolute and % change (b-a)/a.</t>
  </si>
  <si>
    <t>WITH a AS (
  SELECT SUM(s.kpi_sales__delivery_quantity_kg) v FROM s WHERE s.act__gi_day BETWEEN '2025-01-01' AND '2025-06-30'
  AND s.core_business_indicator IN ('C', 'P', 'T')
),
b AS (
  SELECT SUM(s.kpi_sales__delivery_quantity_k) v FROM s WHERE s.act__gi_day BETWEEN '2026-01-01' AND '2026-06-30'
  AND s.core_business_indicator IN ('C', 'P', 'T')
)
SELECT ROUND(b.v - a.v, 2) AS absolute_change,
       ROUND(100.0*(b.v - a.v)/NULLIF(a.v,0), 1) AS pct_change
FROM a, b;</t>
  </si>
  <si>
    <t>H1 2025: 3,994,187.46 -&gt; H1 2026: 4,149,925.00  (change: 155,737.54, 3.9%)</t>
  </si>
  <si>
    <t>How did order volume change from Q2 2025 to Q2 2026?</t>
  </si>
  <si>
    <t>1) SUM(kpi_sales__delivery_quantity_kg) from the Sales table (s) in Q2 2025. 2) Same for Q2 2026. 3) Absolute and % change (b-a)/a.</t>
  </si>
  <si>
    <t>WITH a AS (
  SELECT SUM(s.kpi_sales__delivery_quantity_kg) v FROM s WHERE s.act__gi_day BETWEEN '2025-04-01' AND '2025-06-30'
  AND s.core_business_indicator IN ('C', 'P', 'T')
),
b AS (
  SELECT SUM(s.kpi_sales__delivery_quantity_k) v FROM s WHERE s.act__gi_day BETWEEN '2026-04-01' AND '2026-06-30'
  AND s.core_business_indicator IN ('C', 'P', 'T')
)
SELECT ROUND(b.v - a.v, 2) AS absolute_change,
       ROUND(100.0*(b.v - a.v)/NULLIF(a.v,0), 1) AS pct_change
FROM a, b;</t>
  </si>
  <si>
    <t>Q2 2025: 1,956,508.54 -&gt; Q2 2026: 1,948,451.04  (change: -8,057.50, -0.4%)</t>
  </si>
  <si>
    <t>How did order volume change from H2 2025 to H1 2026?</t>
  </si>
  <si>
    <t>1) SUM(kpi_sales__delivery_quantity_kg) from the Sales table (s) in H2 2025. 2) Same for H1 2026. 3) Absolute and % change (b-a)/a.</t>
  </si>
  <si>
    <t>WITH a AS (
  SELECT SUM(s.kpi_sales__delivery_quantity_kg) v FROM s WHERE s.act__gi_day BETWEEN '2025-07-01' AND '2025-12-31'
  AND s.core_business_indicator IN ('C', 'P', 'T')
),
b AS (
  SELECT SUM(s.kpi_sales__delivery_quantity_k) v FROM s WHERE s.act__gi_day BETWEEN '2026-01-01' AND '2026-06-30'
  AND s.core_business_indicator IN ('C', 'P', 'T')
)
SELECT ROUND(b.v - a.v, 2) AS absolute_change,
       ROUND(100.0*(b.v - a.v)/NULLIF(a.v,0), 1) AS pct_change
FROM a, b;</t>
  </si>
  <si>
    <t>H2 2025: 4,084,582.86 -&gt; H1 2026: 4,149,925.00  (change: 65,342.14, 1.6%)</t>
  </si>
  <si>
    <t>How did order volume change from Q1 2026 to Q2 2026?</t>
  </si>
  <si>
    <t>1) SUM(kpi_sales__delivery_quantity_kg) from the Sales table (s) in Q1 2026. 2) Same for Q2 2026. 3) Absolute and % change (b-a)/a.</t>
  </si>
  <si>
    <t>WITH a AS (
  SELECT SUM(s.kpi_sales__delivery_quantity_kg) v FROM s WHERE s.act__gi_day BETWEEN '2026-01-01' AND '2026-03-31'
  AND s.core_business_indicator IN ('C', 'P', 'T')
),
b AS (
  SELECT SUM(s.kpi_sales__delivery_quantity_k) v FROM s WHERE s.act__gi_day BETWEEN '2026-04-01' AND '2026-06-30'
  AND s.core_business_indicator IN ('C', 'P', 'T')
)
SELECT ROUND(b.v - a.v, 2) AS absolute_change,
       ROUND(100.0*(b.v - a.v)/NULLIF(a.v,0), 1) AS pct_change
FROM a, b;</t>
  </si>
  <si>
    <t>Q1 2026: 2,201,473.96 -&gt; Q2 2026: 1,948,451.04  (change: -253,022.92, -11.5%)</t>
  </si>
  <si>
    <t>How did net sales change from H1 2025 to H1 2026?</t>
  </si>
  <si>
    <t>COPA (cop)</t>
  </si>
  <si>
    <t>1) SUM(kpi_copa__net_sales) from the COPA table (cop) in H1 2025. 2) Same for H1 2026. 3) Absolute and % change (b-a)/a.</t>
  </si>
  <si>
    <t>WITH a AS (
  SELECT SUM(cop.kpi_copa__net_sales) v FROM cop WHERE cop.posting_date BETWEEN '2025-01-01' AND '2025-06-30'
  AND cop.core_business_indicator IN ('C', 'P', 'T')
),
b AS (
  SELECT SUM(cop.kpi_copa__net_sales) v FROM cop WHERE cop.posting_date BETWEEN '2026-01-01' AND '2026-06-30'
  AND cop.core_business_indicator IN ('C', 'P', 'T')
)
SELECT ROUND(b.v - a.v, 2) AS absolute_change,
       ROUND(100.0*(b.v - a.v)/NULLIF(a.v,0), 1) AS pct_change
FROM a, b;</t>
  </si>
  <si>
    <t>H1 2025: 52,133,306.70 -&gt; H1 2026: 50,194,409.54  (change: -1,938,897.16, -3.7%)</t>
  </si>
  <si>
    <t>How did net sales change from Q2 2025 to Q2 2026?</t>
  </si>
  <si>
    <t>1) SUM(kpi_copa__net_sales) from the COPA table (cop) in Q2 2025. 2) Same for Q2 2026. 3) Absolute and % change (b-a)/a.</t>
  </si>
  <si>
    <t>WITH a AS (
  SELECT SUM(cop.kpi_copa__net_sales) v FROM cop WHERE cop.posting_date BETWEEN '2025-04-01' AND '2025-06-30'
  AND cop.core_business_indicator IN ('C', 'P', 'T')
),
b AS (
  SELECT SUM(cop.kpi_copa__net_sales) v FROM cop WHERE cop.posting_date BETWEEN '2026-04-01' AND '2026-06-30'
  AND cop.core_business_indicator IN ('C', 'P', 'T')
)
SELECT ROUND(b.v - a.v, 2) AS absolute_change,
       ROUND(100.0*(b.v - a.v)/NULLIF(a.v,0), 1) AS pct_change
FROM a, b;</t>
  </si>
  <si>
    <t>Q2 2025: 22,286,440.84 -&gt; Q2 2026: 25,763,386.35  (change: 3,476,945.51, 15.6%)</t>
  </si>
  <si>
    <t>How did net sales change from FY2025 to YTD 2026?</t>
  </si>
  <si>
    <t>1) SUM(kpi_copa__net_sales) from the COPA table (cop) in FY2025. 2) Same for YTD 2026. 3) Absolute and % change (b-a)/a.</t>
  </si>
  <si>
    <t>WITH a AS (
  SELECT SUM(cop.kpi_copa__net_sales) v FROM cop WHERE cop.posting_date BETWEEN '2025-01-01' AND '2025-12-31'
  AND cop.core_business_indicator IN ('C', 'P', 'T')
),
b AS (
  SELECT SUM(cop.kpi_copa__net_sales) v FROM cop WHERE cop.posting_date BETWEEN '2026-01-01' AND '2026-08-14'
  AND cop.core_business_indicator IN ('C', 'P', 'T')
)
SELECT ROUND(b.v - a.v, 2) AS absolute_change,
       ROUND(100.0*(b.v - a.v)/NULLIF(a.v,0), 1) AS pct_change
FROM a, b;</t>
  </si>
  <si>
    <t>FY2025: 105,877,166.58 -&gt; YTD 2026: 64,105,839.91  (change: -41,771,326.67, -39.5%)</t>
  </si>
  <si>
    <t>How did net sales change from Q1 2026 to Q2 2026?</t>
  </si>
  <si>
    <t>1) SUM(kpi_copa__net_sales) from the COPA table (cop) in Q1 2026. 2) Same for Q2 2026. 3) Absolute and % change (b-a)/a.</t>
  </si>
  <si>
    <t>WITH a AS (
  SELECT SUM(cop.kpi_copa__net_sales) v FROM cop WHERE cop.posting_date BETWEEN '2026-01-01' AND '2026-03-31'
  AND cop.core_business_indicator IN ('C', 'P', 'T')
),
b AS (
  SELECT SUM(cop.kpi_copa__net_sales) v FROM cop WHERE cop.posting_date BETWEEN '2026-04-01' AND '2026-06-30'
  AND cop.core_business_indicator IN ('C', 'P', 'T')
)
SELECT ROUND(b.v - a.v, 2) AS absolute_change,
       ROUND(100.0*(b.v - a.v)/NULLIF(a.v,0), 1) AS pct_change
FROM a, b;</t>
  </si>
  <si>
    <t>Q1 2026: 24,431,023.19 -&gt; Q2 2026: 25,763,386.35  (change: 1,332,363.16, 5.5%)</t>
  </si>
  <si>
    <t>What was Selling Price for COPA in FY2025?</t>
  </si>
  <si>
    <t>1) Read from the COPA table (cop) , filtered to core_business_indicator IN (C,P,T). 2) Restrict posting_date to 2025-01-01..2025-12-31. 3) SUM(kpi_copa__net_sales) / SUM(kpi_copa__gross_sales_qty).</t>
  </si>
  <si>
    <t>SELECT ROUND(SUM(cop.kpi_copa__net_sales) / NULLIF(SUM(cop.kpi_copa__gross_sales_qty), 0), 2) AS metric_value
FROM cop
WHERE cop.posting_date BETWEEN '2025-01-01' AND '2025-12-31'
  AND cop.core_business_indicator IN ('C', 'P', 'T');</t>
  </si>
  <si>
    <t>7.98 EUR/kg</t>
  </si>
  <si>
    <t>Show me Selling Price by material for Q2 2026, top 8</t>
  </si>
  <si>
    <t>1) Read from the COPA table (cop) , filtered to core_business_indicator IN (C,P,T). 2) Restrict posting_date to 2026-04-01..2026-06-30. 3) GROUP BY material. 4) SUM(kpi_copa__net_sales)/SUM(kpi_copa__gross_sales_qty) per group. 5) Sort descending, top 8.</t>
  </si>
  <si>
    <t>SELECT cop.material2, ROUND(SUM(cop.kpi_copa__net_sales) / NULLIF(SUM(cop.kpi_copa__gross_sales_qty), 0), 2) AS metric_value
FROM cop
WHERE cop.posting_date BETWEEN '2026-04-01' AND '2026-06-30'
  AND cop.core_business_indicator IN ('C', 'P', 'T')
GROUP BY cop.material2
ORDER BY metric_value DESC
LIMIT 8;</t>
  </si>
  <si>
    <t>DESMODUR L 75 (C)-CN     0225,00 KG B01: 9.51; DESMODUR T 80            0250,00 KG DR17: 8.65; ARCOL POLYOL 1107        0000,00 KG T01: 8.54; DESMODUR T 80            0250,00 KG B13: 8.43; MONDUR TD 80 GRADE A     0000,00 KG T001: 8.34; ARCOL POLYOL HS-200      0000,00 KG T001: 8.18; DESMODUR T 80            0000,00 KG T01: 8.05; HYPERLITE POLYOL1674(LA) 0000,00 KG T01: 8.01</t>
  </si>
  <si>
    <t>What was Selling Price for COPA in H1 2026?</t>
  </si>
  <si>
    <t>1) Read from the COPA table (cop) , filtered to core_business_indicator IN (C,P,T). 2) Restrict posting_date to 2026-01-01..2026-06-30. 3) SUM(kpi_copa__net_sales) / SUM(kpi_copa__gross_sales_qty).</t>
  </si>
  <si>
    <t>SELECT ROUND(SUM(cop.kpi_copa__net_sales) / NULLIF(SUM(cop.kpi_copa__gross_sales_qty), 0), 2) AS metric_value
FROM cop
WHERE cop.posting_date BETWEEN '2026-01-01' AND '2026-06-30'
  AND cop.core_business_indicator IN ('C', 'P', 'T');</t>
  </si>
  <si>
    <t>7.74 EUR/kg</t>
  </si>
  <si>
    <t>Show me Selling Price by region for H1 2025, top 8</t>
  </si>
  <si>
    <t>1) Read from the COPA table (cop) , filtered to core_business_indicator IN (C,P,T). 2) Restrict posting_date to 2025-01-01..2025-06-30. 3) GROUP BY region. 4) SUM(kpi_copa__net_sales)/SUM(kpi_copa__gross_sales_qty) per group. 5) Sort descending, top 8.</t>
  </si>
  <si>
    <t>SELECT cop.region_sold_to2, ROUND(SUM(cop.kpi_copa__net_sales) / NULLIF(SUM(cop.kpi_copa__gross_sales_qty), 0), 2) AS metric_value
FROM cop
WHERE cop.posting_date BETWEEN '2025-01-01' AND '2025-06-30'
  AND cop.core_business_indicator IN ('C', 'P', 'T')
GROUP BY cop.region_sold_to2
ORDER BY metric_value DESC
LIMIT 8;</t>
  </si>
  <si>
    <t>NA: 8.38; APAC: 7.83; EMEA: 7.80; Not assigned: 7.43</t>
  </si>
  <si>
    <t>What is our total open receivables position as of end of 2025?</t>
  </si>
  <si>
    <t>1) SUM(Amount in EUR) as of the given date.</t>
  </si>
  <si>
    <t>SELECT ROUND(SUM(f.KPI_AR_KEYDATE__AMOUNT_IN_EUR), 2) AS receivables_eur
FROM kd f
WHERE
  TO_DATE(f.posting_date, 'DD.MM.YYYY') = TO_DATE('31.12.2025', 'DD.MM.YYYY');</t>
  </si>
  <si>
    <t>Open-item proxy - not a true balance-sheet snapshot (no clearing flag in source data).</t>
  </si>
  <si>
    <t>What is our total open receivables position as of 30 June 2026?</t>
  </si>
  <si>
    <t>SELECT ROUND(SUM(f.KPI_AR_KEYDATE__AMOUNT_IN_EUR), 2) AS receivables_eur
FROM kd f
WHERE 
  TO_DATE(f.posting_date, 'DD.MM.YYYY') = TO_DATE('30.06.2026', 'DD.MM.YYYY');</t>
  </si>
  <si>
    <t>What is our total open receivables position as of 31 March 2026?</t>
  </si>
  <si>
    <t xml:space="preserve">SELECT ROUND(SUM(f.KPI_AR_KEYDATE__AMOUNT_IN_EUR), 2) AS receivables_eur
FROM kd f
WHERE 
  TO_DATE(f.posting_date, 'DD.MM.YYYY') = TO_DATE('31.03.2026', 'DD.MM.YYYY');
</t>
  </si>
  <si>
    <t>EUR 379,621.16</t>
  </si>
  <si>
    <t>What was the amount-weighted Effective days outstanding for AR-PM in FY2025?</t>
  </si>
  <si>
    <t>AR-PM (pm)</t>
  </si>
  <si>
    <t>1) Read from the AR-PM table (pm), posting_date in 2025-01-01..2025-12-31. 2) SUM(KPI_AR_PM__EDO__EFFECTIVE_DAYS_OUTSTANDING x Amount EUR) / SUM(Amount EUR) - amount-weighted, not a plain average.</t>
  </si>
  <si>
    <t>SELECT ROUND(SUM(pm.KPI_AR_PM__EDO__EFFECTIVE_DAYS_OUTSTANDING * pm.kpi_ar_pm__amount_eur) / NULLIF(SUM(pm.kpi_ar_pm__amount_eur), 0), 2) AS metric_value
FROM pm
WHERE pm.posting_date BETWEEN '2025-01-01' AND '2025-12-31';</t>
  </si>
  <si>
    <t>44.45 days</t>
  </si>
  <si>
    <t>What was the amount-weighted Effective days outstanding for AR-PM in H1 2026?</t>
  </si>
  <si>
    <t>1) Read from the AR-PM table (pm), posting_date in 2026-01-01..2026-06-30. 2) SUM(KPI_AR_PM__EDO__EFFECTIVE_DAYS_OUTSTANDING x Amount EUR) / SUM(Amount EUR) - amount-weighted, not a plain average.</t>
  </si>
  <si>
    <t>SELECT ROUND(SUM(pm.KPI_AR_PM__EDO__EFFECTIVE_DAYS_OUTSTANDING * pm.kpi_ar_pm__amount_eur) / NULLIF(SUM(pm.kpi_ar_pm__amount_eur), 0), 2) AS metric_value
FROM pm
WHERE pm.posting_date BETWEEN '2026-01-01' AND '2026-06-30';</t>
  </si>
  <si>
    <t>43.13 days</t>
  </si>
  <si>
    <t>What was the amount-weighted Effective days outstanding for AR-PM in last 12 months?</t>
  </si>
  <si>
    <t>1) Read from the AR-PM table (pm), posting_date in 2025-08-15..2026-08-14. 2) SUM(KPI_AR_PM__EDO__EFFECTIVE_DAYS_OUTSTANDING x Amount EUR) / SUM(Amount EUR) - amount-weighted, not a plain average.</t>
  </si>
  <si>
    <t>SELECT ROUND(SUM(pm.KPI_AR_PM__EDO__EFFECTIVE_DAYS_OUTSTANDING * pm.kpi_ar_pm__amount_eur) / NULLIF(SUM(pm.kpi_ar_pm__amount_eur), 0), 2) AS metric_value
FROM pm
WHERE pm.posting_date BETWEEN '2025-08-15' AND '2026-08-14';</t>
  </si>
  <si>
    <t>43.78 days</t>
  </si>
  <si>
    <t>What was the amount-weighted Effective days outstanding for AR-PM in Q2 2026?</t>
  </si>
  <si>
    <t>1) Read from the AR-PM table (pm), posting_date in 2026-04-01..2026-06-30. 2) SUM(KPI_AR_PM__EDO__EFFECTIVE_DAYS_OUTSTANDING x Amount EUR) / SUM(Amount EUR) - amount-weighted, not a plain average.</t>
  </si>
  <si>
    <t>SELECT ROUND(SUM(pm.KPI_AR_PM__EDO__EFFECTIVE_DAYS_OUTSTANDING * pm.kpi_ar_pm__amount_eur) / NULLIF(SUM(pm.kpi_ar_pm__amount_eur), 0), 2) AS metric_value
FROM pm
WHERE pm.posting_date BETWEEN '2026-04-01' AND '2026-06-30';</t>
  </si>
  <si>
    <t>44.33 days</t>
  </si>
  <si>
    <t>What was the amount-weighted Performance days for AR-PM in FY2025?</t>
  </si>
  <si>
    <t>1) Read from the AR-PM table (pm), posting_date in 2025-01-01..2025-12-31. 2) SUM(kpi_ar_pm__performance_days x Amount EUR) / SUM(Amount EUR) - amount-weighted, not a plain average.</t>
  </si>
  <si>
    <t>SELECT ROUND(SUM(pm.kpi_ar_pm__performance_days * pm.kpi_ar_pm__amount_eur) / NULLIF(SUM(pm.kpi_ar_pm__amount_eur), 0), 2) AS metric_value
FROM pm
WHERE pm.posting_date BETWEEN '2025-01-01' AND '2025-12-31';</t>
  </si>
  <si>
    <t>47.46 days</t>
  </si>
  <si>
    <t>What was the amount-weighted Performance days for AR-PM in H1 2026?</t>
  </si>
  <si>
    <t>1) Read from the AR-PM table (pm), posting_date in 2026-01-01..2026-06-30. 2) SUM(kpi_ar_pm__performance_days x Amount EUR) / SUM(Amount EUR) - amount-weighted, not a plain average.</t>
  </si>
  <si>
    <t>SELECT ROUND(SUM(pm.kpi_ar_pm__performance_days * pm.kpi_ar_pm__amount_eur) / NULLIF(SUM(pm.kpi_ar_pm__amount_eur), 0), 2) AS metric_value
FROM pm
WHERE pm.posting_date BETWEEN '2026-01-01' AND '2026-06-30';</t>
  </si>
  <si>
    <t>46.29 days</t>
  </si>
  <si>
    <t>What was the amount-weighted Performance days for AR-PM in last 12 months?</t>
  </si>
  <si>
    <t>1) Read from the AR-PM table (pm), posting_date in 2025-08-15..2026-08-14. 2) SUM(kpi_ar_pm__performance_days x Amount EUR) / SUM(Amount EUR) - amount-weighted, not a plain average.</t>
  </si>
  <si>
    <t>SELECT ROUND(SUM(pm.kpi_ar_pm__performance_days * pm.kpi_ar_pm__amount_eur) / NULLIF(SUM(pm.kpi_ar_pm__amount_eur), 0), 2) AS metric_value
FROM pm
WHERE pm.posting_date BETWEEN '2025-08-15' AND '2026-08-14';</t>
  </si>
  <si>
    <t>46.77 days</t>
  </si>
  <si>
    <t>What was the amount-weighted Performance days for AR-PM in Q1 2026?</t>
  </si>
  <si>
    <t>1) Read from the AR-PM table (pm), posting_date in 2026-01-01..2026-03-31. 2) SUM(kpi_ar_pm__performance_days x Amount EUR) / SUM(Amount EUR) - amount-weighted, not a plain average.</t>
  </si>
  <si>
    <t>SELECT ROUND(SUM(pm.kpi_ar_pm__performance_days * pm.kpi_ar_pm__amount_eur) / NULLIF(SUM(pm.kpi_ar_pm__amount_eur), 0), 2) AS metric_value
FROM pm
WHERE pm.posting_date BETWEEN '2026-01-01' AND '2026-03-31';</t>
  </si>
  <si>
    <t>44.54 days</t>
  </si>
  <si>
    <t>What was WAT Receivables for AR-PM in FY2025?</t>
  </si>
  <si>
    <t>1) Read from the AR-PM table (pm). 2) Restrict posting_date to 2025-01-01..2025-12-31. 3) SUM(kpi_ar_pm__weighted_target_days) / SUM(kpi_ar_pm__amount_eur).</t>
  </si>
  <si>
    <t>WAT Target -PM</t>
  </si>
  <si>
    <t>SELECT ROUND(SUM(pm.kpi_ar_pm__weighted_target_days) / NULLIF(SUM(pm.kpi_ar_pm__amount_eur), 0), 2) AS metric_value
FROM pm
WHERE pm.posting_date BETWEEN '2025-01-01' AND '2025-12-31';</t>
  </si>
  <si>
    <t>47.89 days</t>
  </si>
  <si>
    <t>Show me WAT Receivables by region for H1 2026, top 8</t>
  </si>
  <si>
    <t>1) Read from the AR-PM table (pm). 2) Restrict posting_date to 2026-01-01..2026-06-30. 3) GROUP BY region. 4) SUM(kpi_ar_pm__weighted_target_days)/SUM(kpi_ar_pm__amount_eur) per group. 5) Sort descending, top 8.</t>
  </si>
  <si>
    <t>SELECT pm.region_sold_to2, ROUND(SUM(pm.kpi_ar_pm__weighted_target_days) / NULLIF(SUM(pm.kpi_ar_pm__amount_eur), 0), 2) AS metric_value
FROM pm
WHERE pm.posting_date BETWEEN '2026-01-01' AND '2026-06-30'
GROUP BY pm.region_sold_to2
ORDER BY metric_value DESC
LIMIT 8;</t>
  </si>
  <si>
    <t>NA: 57.43; EMEA: 55.88; APAC: 38.08; Not assigned: 30.00</t>
  </si>
  <si>
    <t>What was WAT Receivables for AR-PM in last 12 months?</t>
  </si>
  <si>
    <t>1) Read from the AR-PM table (pm). 2) Restrict posting_date to 2025-08-15..2026-08-14. 3) SUM(kpi_ar_pm__weighted_target_days) / SUM(kpi_ar_pm__amount_eur).</t>
  </si>
  <si>
    <t>SELECT ROUND(SUM(pm.kpi_ar_pm__weighted_target_days) / NULLIF(SUM(pm.kpi_ar_pm__amount_eur), 0), 2) AS metric_value
FROM pm
WHERE pm.posting_date BETWEEN '2025-08-15' AND '2026-08-14';</t>
  </si>
  <si>
    <t>47.03 days</t>
  </si>
  <si>
    <t>What was Weighted delay days for AR-PM in FY2025?</t>
  </si>
  <si>
    <t>1) Read from the AR-PM table (pm). 2) Restrict posting_date to 2025-01-01..2025-12-31. 3) SUM(kpi_ar_pm__weighted_days_late) / SUM(kpi_ar_pm__amount_eur).</t>
  </si>
  <si>
    <t>SELECT ROUND(SUM(pm.kpi_ar_pm__weighted_days_late) / NULLIF(SUM(pm.kpi_ar_pm__amount_eur), 0), 2) AS metric_value
FROM pm
WHERE pm.posting_date BETWEEN '2025-01-01' AND '2025-12-31';</t>
  </si>
  <si>
    <t>-3.44 days</t>
  </si>
  <si>
    <t>Show me Weighted delay days by company for H1 2026, top 8</t>
  </si>
  <si>
    <t>1) Read from the AR-PM table (pm). 2) Restrict posting_date to 2026-01-01..2026-06-30. 3) GROUP BY company. 4) SUM(kpi_ar_pm__weighted_days_late)/SUM(kpi_ar_pm__amount_eur) per group. 5) Sort descending, top 8.</t>
  </si>
  <si>
    <t>SELECT pm.company_code2, ROUND(SUM(pm.kpi_ar_pm__weighted_days_late) / NULLIF(SUM(pm.kpi_ar_pm__amount_eur), 0), 2) AS metric_value
FROM pm
WHERE pm.posting_date BETWEEN '2026-01-01' AND '2026-06-30'
GROUP BY pm.company_code2
ORDER BY metric_value DESC
LIMIT 8;</t>
  </si>
  <si>
    <t>Covestro (Thailand): -2.08; Covestro Polymers (C: -3.35; Covestro Guangzhou/C: -3.63; Covestro Resins(Fosh: -4.62</t>
  </si>
  <si>
    <t>What was Weighted delay days for AR-PM in last 12 months?</t>
  </si>
  <si>
    <t>1) Read from the AR-PM table (pm). 2) Restrict posting_date to 2025-08-15..2026-08-14. 3) SUM(kpi_ar_pm__weighted_days_late) / SUM(kpi_ar_pm__amount_eur).</t>
  </si>
  <si>
    <t>SELECT ROUND(SUM(pm.kpi_ar_pm__weighted_days_late) / NULLIF(SUM(pm.kpi_ar_pm__amount_eur), 0), 2) AS metric_value
FROM pm
WHERE pm.posting_date BETWEEN '2025-08-15' AND '2026-08-14';</t>
  </si>
  <si>
    <t>-3.25 days</t>
  </si>
  <si>
    <t>How many open receivable line items do we have as of end of 2025?</t>
  </si>
  <si>
    <t>1) Same open-item proxy as Receivables. 2) SUM(Counter) instead of Amount.</t>
  </si>
  <si>
    <t xml:space="preserve">SELECT ROUND(SUM(f.KPI_AR_KEYDATE__COUNTER), 2) AS line_items
FROM kd f
WHERE 
  TO_DATE(f.posting_date, 'DD.MM.YYYY') = TO_DATE('31.12.2025', 'DD.MM.YYYY');
</t>
  </si>
  <si>
    <t>Open-item proxy, same population as 'Receivables'.</t>
  </si>
  <si>
    <t>How many open receivable line items do we have as of 14 August 2026?</t>
  </si>
  <si>
    <t>SELECT ROUND(SUM(f.KPI_AR_KEYDATE__COUNTER), 2) AS line_items
FROM kd f
WHERE 
  TO_DATE(f.posting_date, 'DD.MM.YYYY') = TO_DATE('14.08.2026', 'DD.MM.YYYY');</t>
  </si>
  <si>
    <t>What was the total Net value of billing item for AR-KeyDate in FY2025?</t>
  </si>
  <si>
    <t>1) Read from the AR-KeyDate table (kd). 2) Restrict posting_date to 2025-01-01..2025-12-31. 3) SUM(KPI_AR_KEYDATE__NET_VALUE_OF_BILLING_DC).</t>
  </si>
  <si>
    <t>Net value of billing item</t>
  </si>
  <si>
    <t>SELECT ROUND(SUM(kd.KPI_AR_KEYDATE__NET_VALUE_OF_BILLING_DC), 2) AS metric_value
FROM kd
WHERE kd.posting_date BETWEEN '2025-01-01' AND '2025-12-31';</t>
  </si>
  <si>
    <t>48,989,390.23 DC</t>
  </si>
  <si>
    <t>Show me Net value of billing item by region for H1 2026, sorted highest to lowest</t>
  </si>
  <si>
    <t>1) Read from the AR-KeyDate table (kd). 2) Restrict posting_date to 2026-01-01..2026-06-30. 3) GROUP BY region. 4) SUM(KPI_AR_KEYDATE__NET_VALUE_OF_BILLING_DC) per group. 5) Sort descending, top 8.</t>
  </si>
  <si>
    <t>SELECT kd.region_sold_to2, ROUND(SUM(kd.KPI_AR_KEYDATE__NET_VALUE_OF_BILLING_DC), 2) AS metric_value
FROM kd
WHERE kd.posting_date BETWEEN '2026-01-01' AND '2026-06-30'
GROUP BY kd.region_sold_to2
ORDER BY metric_value DESC
LIMIT 8;</t>
  </si>
  <si>
    <t>APAC: 12,533,202.66; NA: 6,335,933.73; EMEA: 4,420,934.90; Not assigned: 1,390,380.87</t>
  </si>
  <si>
    <t>What was the total Weighted WoC target days for AR-KeyDate in Q2 2025?</t>
  </si>
  <si>
    <t>1) Read from the AR-KeyDate table (kd). 2) Restrict posting_date to 2025-04-01..2025-06-30. 3) SUM(kpi_ar_keydate__weighted_woc_target_days).</t>
  </si>
  <si>
    <t>Weighted WoC target days</t>
  </si>
  <si>
    <t>SELECT ROUND(SUM(kd.kpi_ar_keydate__weighted_woc_target_days), 2) AS metric_value
FROM kd
WHERE kd.posting_date BETWEEN '2025-04-01' AND '2025-06-30';</t>
  </si>
  <si>
    <t>496,576,987.77 (raw weighted-sum)</t>
  </si>
  <si>
    <t>Show me Weighted WoC target days by material for last 12 months, sorted highest to lowest</t>
  </si>
  <si>
    <t>1) Read from the AR-KeyDate table (kd). 2) Restrict posting_date to 2025-08-15..2026-08-14. 3) GROUP BY material. 4) SUM(kpi_ar_keydate__weighted_woc_target_days) per group. 5) Sort descending, top 8.</t>
  </si>
  <si>
    <t>SELECT kd.material2, ROUND(SUM(kd.kpi_ar_keydate__weighted_woc_target_days), 2) AS metric_value
FROM kd
WHERE kd.posting_date BETWEEN '2025-08-15' AND '2026-08-14'
GROUP BY kd.material2
ORDER BY metric_value DESC
LIMIT 8;</t>
  </si>
  <si>
    <t>DESMODUR 44 V 70 L       0000,00 KG T01: 104,395,366.23; DESMODUR T 80            0250,00 KG B13: 91,451,430.42; HYDROCHLORIC ACID 31 %   0000,00 KG T01: 88,551,733.17; DESMODUR T 80            0000,00 KG T01: 79,030,060.08; LIQUID CAUSTIC SODA 50%  0000,00 KG R001: 70,243,829.46; SODIUM HYDRXD 50%NON NSF 0000,00 KG T001: 70,208,167.20; DESMODUR 44 V 20 L CN    0250,00 KG B13: 58,367,817.81; DESMODUR 44 V 20 L CN    0000,00 KG T01: 58,112,644.32</t>
  </si>
  <si>
    <t>What was the total Weighted target days for AR-KeyDate in H2 2025?</t>
  </si>
  <si>
    <t>1) Read from the AR-KeyDate table (kd). 2) Restrict posting_date to 2025-07-01..2025-12-31. 3) SUM(KPI_AR_KEYDATE__WEIGHTED_TARGET_DAYS).</t>
  </si>
  <si>
    <t>SELECT ROUND(SUM(kd.KPI_AR_KEYDATE__WEIGHTED_TARGET_DAYS), 2) AS metric_value
FROM kd
WHERE kd.posting_date BETWEEN '2025-07-01' AND '2025-12-31';</t>
  </si>
  <si>
    <t>2,334,341,590.35 (raw weighted-sum)</t>
  </si>
  <si>
    <t>Show me Weighted target days by plant for Q1 2026, sorted highest to lowest</t>
  </si>
  <si>
    <t>1) Read from the AR-KeyDate table (kd). 2) Restrict posting_date to 2026-01-01..2026-03-31. 3) GROUP BY plant. 4) SUM(KPI_AR_KEYDATE__WEIGHTED_TARGET_DAYS) per group. 5) Sort descending, top 8.</t>
  </si>
  <si>
    <t>SELECT kd.plant2, ROUND(SUM(kd.KPI_AR_KEYDATE__WEIGHTED_TARGET_DAYS), 2) AS metric_value
FROM kd
WHERE kd.posting_date BETWEEN '2026-01-01' AND '2026-03-31'
GROUP BY kd.plant2
ORDER BY metric_value DESC
LIMIT 8;</t>
  </si>
  <si>
    <t>PRD PM  MDI TRAIN CA: 164,759,358.60; DCRP TOTAL DIST COLU: 154,984,881.75; PRD CA  ISOCYANATES: 123,870,508.65; Not assigned: 120,306,922.65; PRD EP  CPD FLG: 119,512,866.60; PRD EP  CPD CAO B8KB: 112,934,781.15; PRD PM  WS CAO: 112,835,745.75; DCRP MUSTERSERVICE D: 85,227,843.90</t>
  </si>
  <si>
    <t>What was the total Receivables - PM for AR-PM in Q2 2026?</t>
  </si>
  <si>
    <t>1) Read from the AR-PM table (pm). 2) Restrict posting_date to 2026-04-01..2026-06-30. 3) SUM(kpi_ar_pm__amount_eur).</t>
  </si>
  <si>
    <t>SELECT ROUND(SUM(pm.kpi_ar_pm__amount_eur), 2) AS metric_value
FROM pm
WHERE pm.posting_date BETWEEN '2026-04-01' AND '2026-06-30';</t>
  </si>
  <si>
    <t>15,733,359.93 EUR</t>
  </si>
  <si>
    <t>Show me Receivables - PM by customer channel for H1 2025, sorted highest to lowest</t>
  </si>
  <si>
    <t>1) Read from the AR-PM table (pm). 2) Restrict posting_date to 2025-01-01..2025-06-30. 3) GROUP BY customer channel. 4) SUM(kpi_ar_pm__amount_eur) per group. 5) Sort descending, top 8.</t>
  </si>
  <si>
    <t>SELECT pm.customer_channel2, ROUND(SUM(pm.kpi_ar_pm__amount_eur), 2) AS metric_value
FROM pm
WHERE pm.posting_date BETWEEN '2025-01-01' AND '2025-06-30'
GROUP BY pm.customer_channel2
ORDER BY metric_value DESC
LIMIT 8;</t>
  </si>
  <si>
    <t>DIR-Direct: 18,297,763.67; IN-PLA TransPlant: 3,432,291.43; IN-DIS Distributor: 2,306,394.54; DIR-KA Large Account: 1,990,039.49; DIR-LT Long Tail (direct): 1,151,401.45</t>
  </si>
  <si>
    <t>What was the total Line items - PM for AR-PM in FY2025?</t>
  </si>
  <si>
    <t>1) Read from the AR-PM table (pm). 2) Restrict posting_date to 2025-01-01..2025-12-31. 3) SUM(kpi_ar_pm__counter).</t>
  </si>
  <si>
    <t>SELECT ROUND(SUM(pm.kpi_ar_pm__counter), 2) AS metric_value
FROM pm
WHERE pm.posting_date BETWEEN '2025-01-01' AND '2025-12-31';</t>
  </si>
  <si>
    <t>Show me Line items - PM by company for H1 2026, sorted highest to lowest</t>
  </si>
  <si>
    <t>1) Read from the AR-PM table (pm). 2) Restrict posting_date to 2026-01-01..2026-06-30. 3) GROUP BY company. 4) SUM(kpi_ar_pm__counter) per group. 5) Sort descending, top 8.</t>
  </si>
  <si>
    <t>SELECT pm.company_code2, ROUND(SUM(pm.kpi_ar_pm__counter), 2) AS metric_value
FROM pm
WHERE pm.posting_date BETWEEN '2026-01-01' AND '2026-06-30'
GROUP BY pm.company_code2
ORDER BY metric_value DESC
LIMIT 8;</t>
  </si>
  <si>
    <t>Covestro Polymers (C: 308.00; Covestro (Thailand): 182.00; Covestro Guangzhou/C: 167.00; Covestro Resins(Fosh: 153.00</t>
  </si>
  <si>
    <t>What was the total WoC deviation from target for AR-PM in Q2 2025?</t>
  </si>
  <si>
    <t>1) Read from the AR-PM table (pm). 2) Restrict posting_date to 2025-04-01..2025-06-30. 3) SUM(kpi_ar_pm__diff_woc_target).</t>
  </si>
  <si>
    <t>SELECT ROUND(SUM(pm.kpi_ar_pm__diff_woc_target), 2) AS metric_value
FROM pm
WHERE pm.posting_date BETWEEN '2025-04-01' AND '2025-06-30';</t>
  </si>
  <si>
    <t>6,133.00 days</t>
  </si>
  <si>
    <t>Show me WoC deviation from target by marketing segment for last 12 months, sorted highest to lowest</t>
  </si>
  <si>
    <t>1) Read from the AR-PM table (pm). 2) Restrict posting_date to 2025-08-15..2026-08-14. 3) GROUP BY marketing segment. 4) SUM(kpi_ar_pm__diff_woc_target) per group. 5) Sort descending, top 8.</t>
  </si>
  <si>
    <t>SELECT pm.marketing_level_02, ROUND(SUM(pm.kpi_ar_pm__diff_woc_target), 2) AS metric_value
FROM pm
WHERE pm.posting_date BETWEEN '2025-08-15' AND '2026-08-14'
GROUP BY pm.marketing_level_02
ORDER BY metric_value DESC
LIMIT 8;</t>
  </si>
  <si>
    <t>PM: 16,930.00; EP: 3,773.00; #: 524.00; CA: 490.00; ELA: 201.00</t>
  </si>
  <si>
    <t>What was the amount-weighted Posting days for AR-PM in H2 2025?</t>
  </si>
  <si>
    <t>1) Read from the AR-PM table (pm), posting_date in 2025-07-01..2025-12-31. 2) SUM(kpi_ar_pm__posting_days x Amount EUR) / SUM(Amount EUR) - amount-weighted, not a plain average.</t>
  </si>
  <si>
    <t>SELECT ROUND(SUM(pm.kpi_ar_pm__posting_days * pm.kpi_ar_pm__amount_eur) / NULLIF(SUM(pm.kpi_ar_pm__amount_eur), 0), 2) AS metric_value
FROM pm
WHERE pm.posting_date BETWEEN '2025-07-01' AND '2025-12-31';</t>
  </si>
  <si>
    <t>2.87 days</t>
  </si>
  <si>
    <t>What was the amount-weighted Posting days for AR-PM in Q1 2026?</t>
  </si>
  <si>
    <t>1) Read from the AR-PM table (pm), posting_date in 2026-01-01..2026-03-31. 2) SUM(kpi_ar_pm__posting_days x Amount EUR) / SUM(Amount EUR) - amount-weighted, not a plain average.</t>
  </si>
  <si>
    <t>SELECT ROUND(SUM(pm.kpi_ar_pm__posting_days * pm.kpi_ar_pm__amount_eur) / NULLIF(SUM(pm.kpi_ar_pm__amount_eur), 0), 2) AS metric_value
FROM pm
WHERE pm.posting_date BETWEEN '2026-01-01' AND '2026-03-31';</t>
  </si>
  <si>
    <t>2.72 days</t>
  </si>
  <si>
    <t>What was the total Gross sales quantity (CO-PA) for COPA in Q2 2026?</t>
  </si>
  <si>
    <t>1) Read from the COPA table (cop) , filtered to core_business_indicator IN (C,P,T). 2) Restrict posting_date to 2026-04-01..2026-06-30. 3) SUM(kpi_copa__gross_sales_qty).</t>
  </si>
  <si>
    <t>SELECT ROUND(SUM(cop.kpi_copa__gross_sales_qty), 2) AS metric_value
FROM cop
WHERE cop.posting_date BETWEEN '2026-04-01' AND '2026-06-30'
  AND cop.core_business_indicator IN ('C', 'P', 'T');</t>
  </si>
  <si>
    <t>3,338,333.12 kg</t>
  </si>
  <si>
    <t>Show me Gross sales quantity (CO-PA) by region for H1 2025, sorted highest to lowest</t>
  </si>
  <si>
    <t>1) Read from the COPA table (cop) , filtered to core_business_indicator IN (C,P,T). 2) Restrict posting_date to 2025-01-01..2025-06-30. 3) GROUP BY region. 4) SUM(kpi_copa__gross_sales_qty) per group. 5) Sort descending, top 8.</t>
  </si>
  <si>
    <t>SELECT cop.region_sold_to2, ROUND(SUM(cop.kpi_copa__gross_sales_qty), 2) AS metric_value
FROM cop
WHERE cop.posting_date BETWEEN '2025-01-01' AND '2025-06-30'
  AND cop.core_business_indicator IN ('C', 'P', 'T')
GROUP BY cop.region_sold_to2
ORDER BY metric_value DESC
LIMIT 8;</t>
  </si>
  <si>
    <t>APAC: 3,298,669.27; NA: 1,460,503.16; EMEA: 1,252,763.75; Not assigned: 576,840.45</t>
  </si>
  <si>
    <t>What was the total Gross sales (CO-PA) for COPA in FY2025?</t>
  </si>
  <si>
    <t>1) Read from the COPA table (cop) , filtered to core_business_indicator IN (C,P,T). 2) Restrict posting_date to 2025-01-01..2025-12-31. 3) SUM(kpi_copa__gross_sales).</t>
  </si>
  <si>
    <t>SELECT ROUND(SUM(cop.kpi_copa__gross_sales), 2) AS metric_value
FROM cop
WHERE cop.posting_date BETWEEN '2025-01-01' AND '2025-12-31'
  AND cop.core_business_indicator IN ('C', 'P', 'T');</t>
  </si>
  <si>
    <t>110,932,086.99 EUR</t>
  </si>
  <si>
    <t>Show me Gross sales (CO-PA) by material for H1 2026, sorted highest to lowest</t>
  </si>
  <si>
    <t>1) Read from the COPA table (cop) , filtered to core_business_indicator IN (C,P,T). 2) Restrict posting_date to 2026-01-01..2026-06-30. 3) GROUP BY material. 4) SUM(kpi_copa__gross_sales) per group. 5) Sort descending, top 8.</t>
  </si>
  <si>
    <t>SELECT cop.material2, ROUND(SUM(cop.kpi_copa__gross_sales), 2) AS metric_value
FROM cop
WHERE cop.posting_date BETWEEN '2026-01-01' AND '2026-06-30'
  AND cop.core_business_indicator IN ('C', 'P', 'T')
GROUP BY cop.material2
ORDER BY metric_value DESC
LIMIT 8;</t>
  </si>
  <si>
    <t>DESMODUR T 80            0250,00 KG B13: 5,856,095.58; DESMODUR 44 V 70 L       0000,00 KG T01: 5,508,751.39; DESMODUR T 80            0000,00 KG T01: 3,316,406.01; SODIUM HYDRXD 50%NON NSF 0000,00 KG T001: 3,073,341.54; DESMODUR T 80            0250,00 KG DR17: 3,036,135.77; DESMODUR L 75 (C)-CN     0225,00 KG B01: 2,167,282.41; ARCOL POLYOL 1107        0000,00 KG T01: 2,155,811.15; M.AL2647P       550396            FA080M: 2,015,895.10</t>
  </si>
  <si>
    <t>What was the total Net proceeds (CO-PA) for COPA in Q2 2025?</t>
  </si>
  <si>
    <t>1) Read from the COPA table (cop) , filtered to core_business_indicator IN (C,P,T). 2) Restrict posting_date to 2025-04-01..2025-06-30. 3) SUM(kpi_copa__net_proceeds).</t>
  </si>
  <si>
    <t>SELECT ROUND(SUM(cop.kpi_copa__net_proceeds), 2) AS metric_value
FROM cop
WHERE cop.posting_date BETWEEN '2025-04-01' AND '2025-06-30'
  AND cop.core_business_indicator IN ('C', 'P', 'T');</t>
  </si>
  <si>
    <t>21,965,422.42 EUR</t>
  </si>
  <si>
    <t>Show me Net proceeds (CO-PA) by plant for last 12 months, sorted highest to lowest</t>
  </si>
  <si>
    <t>1) Read from the COPA table (cop) , filtered to core_business_indicator IN (C,P,T). 2) Restrict posting_date to 2025-08-15..2026-08-14. 3) GROUP BY plant. 4) SUM(kpi_copa__net_proceeds) per group. 5) Sort descending, top 8.</t>
  </si>
  <si>
    <t>SELECT cop.plant2, ROUND(SUM(cop.kpi_copa__net_proceeds), 2) AS metric_value
FROM cop
WHERE cop.posting_date BETWEEN '2025-08-15' AND '2026-08-14'
  AND cop.core_business_indicator IN ('C', 'P', 'T')
GROUP BY cop.plant2
ORDER BY metric_value DESC
LIMIT 8;</t>
  </si>
  <si>
    <t>PRD PM  MDI TRAIN CA: 13,315,807.88; PRD EP  CPD GUA 4AAB: 11,655,320.11; PRD PM  WS CAO: 11,058,443.65; PRD CA  ISOCYANATES: 10,815,785.69; DCRP MUSTERSERVICE D: 10,550,862.55; DCRP TOTAL DIST COLU: 10,259,747.28; PRD EP  CPD FLG: 10,115,564.02; Not assigned: 9,964,964.18</t>
  </si>
  <si>
    <t>What was the total Net sales (CO-PA) for COPA in H2 2025?</t>
  </si>
  <si>
    <t>1) Read from the COPA table (cop) , filtered to core_business_indicator IN (C,P,T). 2) Restrict posting_date to 2025-07-01..2025-12-31. 3) SUM(kpi_copa__net_sales).</t>
  </si>
  <si>
    <t>SELECT ROUND(SUM(cop.kpi_copa__net_sales), 2) AS metric_value
FROM cop
WHERE cop.posting_date BETWEEN '2025-07-01' AND '2025-12-31'
  AND cop.core_business_indicator IN ('C', 'P', 'T');</t>
  </si>
  <si>
    <t>53,743,859.88 EUR</t>
  </si>
  <si>
    <t>Show me Net sales (CO-PA) by customer channel for Q1 2026, sorted highest to lowest</t>
  </si>
  <si>
    <t>1) Read from the COPA table (cop) , filtered to core_business_indicator IN (C,P,T). 2) Restrict posting_date to 2026-01-01..2026-03-31. 3) GROUP BY customer channel. 4) SUM(kpi_copa__net_sales) per group. 5) Sort descending, top 8.</t>
  </si>
  <si>
    <t>SELECT cop.customer_channel2, ROUND(SUM(cop.kpi_copa__net_sales), 2) AS metric_value
FROM cop
WHERE cop.posting_date BETWEEN '2026-01-01' AND '2026-03-31'
  AND cop.core_business_indicator IN ('C', 'P', 'T')
GROUP BY cop.customer_channel2
ORDER BY metric_value DESC
LIMIT 8;</t>
  </si>
  <si>
    <t>DIR-Direct: 15,427,125.41; IN-PLA TransPlant: 4,161,844.88; DIR-LT Long Tail (direct): 2,522,242.61; DIR-KA Large Account: 1,292,444.23; IN-DIS Distributor: 1,027,366.06</t>
  </si>
  <si>
    <t>What was the total Sales adjustments (CO-PA) for COPA in Q2 2026?</t>
  </si>
  <si>
    <t>1) Read from the COPA table (cop) , filtered to core_business_indicator IN (C,P,T). 2) Restrict posting_date to 2026-04-01..2026-06-30. 3) SUM(kpi_copa__sales_adjustments).</t>
  </si>
  <si>
    <t>SELECT ROUND(SUM(cop.kpi_copa__sales_adjustments), 2) AS metric_value
FROM cop
WHERE cop.posting_date BETWEEN '2026-04-01' AND '2026-06-30'
  AND cop.core_business_indicator IN ('C', 'P', 'T');</t>
  </si>
  <si>
    <t>328,505.28 EUR</t>
  </si>
  <si>
    <t>Show me Sales adjustments (CO-PA) by company for H1 2025, sorted highest to lowest</t>
  </si>
  <si>
    <t>1) Read from the COPA table (cop) , filtered to core_business_indicator IN (C,P,T). 2) Restrict posting_date to 2025-01-01..2025-06-30. 3) GROUP BY company. 4) SUM(kpi_copa__sales_adjustments) per group. 5) Sort descending, top 8.</t>
  </si>
  <si>
    <t>SELECT cop.company_code2, ROUND(SUM(cop.kpi_copa__sales_adjustments), 2) AS metric_value
FROM cop
WHERE cop.posting_date BETWEEN '2025-01-01' AND '2025-06-30'
  AND cop.core_business_indicator IN ('C', 'P', 'T')
GROUP BY cop.company_code2
ORDER BY metric_value DESC
LIMIT 8;</t>
  </si>
  <si>
    <t>Covestro Polymers (C: 272,391.11; Covestro Resins(Fosh: 187,279.42; Covestro Guangzhou/C: 171,967.49; Covestro (Thailand): 162,429.99</t>
  </si>
  <si>
    <t>What was the total Sales deductions (CO-PA) for COPA in FY2025?</t>
  </si>
  <si>
    <t>1) Read from the COPA table (cop) , filtered to core_business_indicator IN (C,P,T). 2) Restrict posting_date to 2025-01-01..2025-12-31. 3) SUM(kpi_copa__sales_deductions).</t>
  </si>
  <si>
    <t>SELECT ROUND(SUM(cop.kpi_copa__sales_deductions), 2) AS metric_value
FROM cop
WHERE cop.posting_date BETWEEN '2025-01-01' AND '2025-12-31'
  AND cop.core_business_indicator IN ('C', 'P', 'T');</t>
  </si>
  <si>
    <t>5,054,920.13 EUR</t>
  </si>
  <si>
    <t>Show me Sales deductions (CO-PA) by marketing segment for H1 2026, sorted highest to lowest</t>
  </si>
  <si>
    <t>1) Read from the COPA table (cop) , filtered to core_business_indicator IN (C,P,T). 2) Restrict posting_date to 2026-01-01..2026-06-30. 3) GROUP BY marketing segment. 4) SUM(kpi_copa__sales_deductions) per group. 5) Sort descending, top 8.</t>
  </si>
  <si>
    <t>SELECT cop.marketing_level_02, ROUND(SUM(cop.kpi_copa__sales_deductions), 2) AS metric_value
FROM cop
WHERE cop.posting_date BETWEEN '2026-01-01' AND '2026-06-30'
  AND cop.core_business_indicator IN ('C', 'P', 'T')
GROUP BY cop.marketing_level_02
ORDER BY metric_value DESC
LIMIT 8;</t>
  </si>
  <si>
    <t>PM: 1,720,093.44; EP: 588,588.99; CA: 110,642.01</t>
  </si>
  <si>
    <t>What was the total Consolidated marginal income I for COSMOS in Q2 2025?</t>
  </si>
  <si>
    <t>1) Read from the COSMOS table (cos) , filtered to core_business_indicator IN (C,P,T). 2) Restrict calendar_day to 2025-04-01..2025-06-30. 3) SUM(KPI_COSMOS__CONSOLIDATED_MARGIN_I).</t>
  </si>
  <si>
    <t>Consolidated marginal income I</t>
  </si>
  <si>
    <t>SELECT ROUND(SUM(cos.KPI_COSMOS__CONSOLIDATED_MARGIN_I), 2) AS metric_value
FROM cos
WHERE cos.calendar_day BETWEEN '2025-04-01' AND '2025-06-30'
  AND cos.core_business_indicator IN ('C', 'P', 'T');</t>
  </si>
  <si>
    <t>7,764,020.88 EUR</t>
  </si>
  <si>
    <t>Show me Consolidated marginal income I by region for last 12 months, sorted highest to lowest</t>
  </si>
  <si>
    <t>1) Read from the COSMOS table (cos) , filtered to core_business_indicator IN (C,P,T). 2) Restrict calendar_day to 2025-08-15..2026-08-14. 3) GROUP BY region. 4) SUM(KPI_COSMOS__CONSOLIDATED_MARGIN_I) per group. 5) Sort descending, top 8.</t>
  </si>
  <si>
    <t>SELECT cos.region_sold_to2, ROUND(SUM(cos.KPI_COSMOS__CONSOLIDATED_MARGIN_I), 2) AS metric_value
FROM cos
WHERE cos.calendar_day BETWEEN '2025-08-15' AND '2026-08-14'
  AND cos.core_business_indicator IN ('C', 'P', 'T')
GROUP BY cos.region_sold_to2
ORDER BY metric_value DESC
LIMIT 8;</t>
  </si>
  <si>
    <t>APAC: 13,522,789.68; NA: 7,392,211.39; EMEA: 5,736,717.61; Not assigned: 1,501,348.87</t>
  </si>
  <si>
    <t>What was the total Consolidated marginal income 2a for COSMOS in H2 2025?</t>
  </si>
  <si>
    <t>1) Read from the COSMOS table (cos) , filtered to core_business_indicator IN (C,P,T). 2) Restrict calendar_day to 2025-07-01..2025-12-31. 3) SUM(KPI_COSMOS__CONSOLIDATED_MARGIN_IIa).</t>
  </si>
  <si>
    <t>Consolidated marginal income 2a</t>
  </si>
  <si>
    <t>SELECT ROUND(SUM(cos.KPI_COSMOS__CONSOLIDATED_MARGIN_IIa), 2) AS metric_value
FROM cos
WHERE cos.calendar_day BETWEEN '2025-07-01' AND '2025-12-31'
  AND cos.core_business_indicator IN ('C', 'P', 'T');</t>
  </si>
  <si>
    <t>14,825,679.10 EUR</t>
  </si>
  <si>
    <t>Show me Consolidated marginal income 2a by material for Q1 2026, sorted highest to lowest</t>
  </si>
  <si>
    <t>1) Read from the COSMOS table (cos) , filtered to core_business_indicator IN (C,P,T). 2) Restrict calendar_day to 2026-01-01..2026-03-31. 3) GROUP BY material. 4) SUM(KPI_COSMOS__CONSOLIDATED_MARGIN_IIa) per group. 5) Sort descending, top 8.</t>
  </si>
  <si>
    <t>SELECT cos.material2, ROUND(SUM(cos.KPI_COSMOS__CONSOLIDATED_MARGIN_IIa), 2) AS metric_value
FROM cos
WHERE cos.calendar_day BETWEEN '2026-01-01' AND '2026-03-31'
  AND cos.core_business_indicator IN ('C', 'P', 'T')
GROUP BY cos.material2
ORDER BY metric_value DESC
LIMIT 8;</t>
  </si>
  <si>
    <t>DESMODUR 44 V 70 L       0000,00 KG T01: 795,339.58; DESMODUR T 80            0250,00 KG B13: 518,920.63; SODIUM HYDRXD 50%NON NSF 0000,00 KG T001: 475,252.10; ARCOL POLYOL HS-200      0000,00 KG T001: 394,901.85; MONDUR TD 80 GRADE A     0000,00 KG R001: 387,901.63; DESMODUR T 80            0250,00 KG DR17: 382,033.49; B.T65XF         901510            BE100W: 367,959.37; DESMODUR T 80            0000,00 KG T01: 347,763.61</t>
  </si>
  <si>
    <t>What was the total Gross sales (COSMOS) for COSMOS in Q2 2026?</t>
  </si>
  <si>
    <t>1) Read from the COSMOS table (cos) , filtered to core_business_indicator IN (C,P,T). 2) Restrict calendar_day to 2026-04-01..2026-06-30. 3) SUM(kpi_cosmos__gross_sales).</t>
  </si>
  <si>
    <t>SELECT ROUND(SUM(cos.kpi_cosmos__gross_sales), 2) AS metric_value
FROM cos
WHERE cos.calendar_day BETWEEN '2026-04-01' AND '2026-06-30'
  AND cos.core_business_indicator IN ('C', 'P', 'T');</t>
  </si>
  <si>
    <t>21,570,186.56 EUR</t>
  </si>
  <si>
    <t>Show me Gross sales (COSMOS) by plant for H1 2025, sorted highest to lowest</t>
  </si>
  <si>
    <t>1) Read from the COSMOS table (cos) , filtered to core_business_indicator IN (C,P,T). 2) Restrict calendar_day to 2025-01-01..2025-06-30. 3) GROUP BY plant. 4) SUM(kpi_cosmos__gross_sales) per group. 5) Sort descending, top 8.</t>
  </si>
  <si>
    <t>SELECT cos.plant2, ROUND(SUM(cos.kpi_cosmos__gross_sales), 2) AS metric_value
FROM cos
WHERE cos.calendar_day BETWEEN '2025-01-01' AND '2025-06-30'
  AND cos.core_business_indicator IN ('C', 'P', 'T')
GROUP BY cos.plant2
ORDER BY metric_value DESC
LIMIT 8;</t>
  </si>
  <si>
    <t>PRD PM  WS CAO: 5,113,601.27; PRD PM  MDI TRAIN CA: 4,669,780.57; DCRP TOTAL DIST COLU: 4,197,925.90; PRD EP  CPD FLG: 4,038,197.11; Not assigned: 3,832,742.62; PRD EP  CPD CAO B8KB: 3,733,202.77; PRD EP  CPD GUA 4AAB: 3,701,870.37; PRD CA  ISOCYANATES: 3,578,227.57</t>
  </si>
  <si>
    <t>What was the total Gross sales quantity internal + external (COSMOS) for COSMOS in FY2025?</t>
  </si>
  <si>
    <t>1) Read from the COSMOS table (cos) , filtered to core_business_indicator IN (C,P,T). 2) Restrict calendar_day to 2025-01-01..2025-12-31. 3) SUM(KPI_COSMOS__GROSS_SALES_QTY__IN_EX).</t>
  </si>
  <si>
    <t>SELECT ROUND(SUM(cos.KPI_COSMOS__GROSS_SALES_QTY__IN_EX), 2) AS metric_value
FROM cos
WHERE cos.calendar_day BETWEEN '2025-01-01' AND '2025-12-31'
  AND cos.core_business_indicator IN ('C', 'P', 'T');</t>
  </si>
  <si>
    <t>9,393,853.36 kg</t>
  </si>
  <si>
    <t>Show me Gross sales quantity internal + external (COSMOS) by customer channel for H1 2026, sorted highest to lowest</t>
  </si>
  <si>
    <t>1) Read from the COSMOS table (cos) , filtered to core_business_indicator IN (C,P,T). 2) Restrict calendar_day to 2026-01-01..2026-06-30. 3) GROUP BY customer channel. 4) SUM(KPI_COSMOS__GROSS_SALES_QTY__IN_EX) per group. 5) Sort descending, top 8.</t>
  </si>
  <si>
    <t>SELECT cos.customer_channel2, ROUND(SUM(cos.KPI_COSMOS__GROSS_SALES_QTY__IN_EX), 2) AS metric_value
FROM cos
WHERE cos.calendar_day BETWEEN '2026-01-01' AND '2026-06-30'
  AND cos.core_business_indicator IN ('C', 'P', 'T')
GROUP BY cos.customer_channel2
ORDER BY metric_value DESC
LIMIT 8;</t>
  </si>
  <si>
    <t>DIR-Direct: 3,004,364.69; IN-PLA TransPlant: 697,570.50; IN-DIS Distributor: 451,221.93; DIR-KA Large Account: 384,316.58; DIR-LT Long Tail (direct): 313,337.50</t>
  </si>
  <si>
    <t>What was the total Net proceeds (COSMOS) for COSMOS in Q2 2025?</t>
  </si>
  <si>
    <t>1) Read from the COSMOS table (cos) , filtered to core_business_indicator IN (C,P,T). 2) Restrict calendar_day to 2025-04-01..2025-06-30. 3) SUM(kpi_cosmos__net_proceeds).</t>
  </si>
  <si>
    <t>SELECT ROUND(SUM(cos.kpi_cosmos__net_proceeds), 2) AS metric_value
FROM cos
WHERE cos.calendar_day BETWEEN '2025-04-01' AND '2025-06-30'
  AND cos.core_business_indicator IN ('C', 'P', 'T');</t>
  </si>
  <si>
    <t>19,374,787.07 EUR</t>
  </si>
  <si>
    <t>Show me Net proceeds (COSMOS) by company for last 12 months, sorted highest to lowest</t>
  </si>
  <si>
    <t>1) Read from the COSMOS table (cos) , filtered to core_business_indicator IN (C,P,T). 2) Restrict calendar_day to 2025-08-15..2026-08-14. 3) GROUP BY company. 4) SUM(kpi_cosmos__net_proceeds) per group. 5) Sort descending, top 8.</t>
  </si>
  <si>
    <t>SELECT cos.company_code2, ROUND(SUM(cos.kpi_cosmos__net_proceeds), 2) AS metric_value
FROM cos
WHERE cos.calendar_day BETWEEN '2025-08-15' AND '2026-08-14'
  AND cos.core_business_indicator IN ('C', 'P', 'T')
GROUP BY cos.company_code2
ORDER BY metric_value DESC
LIMIT 8;</t>
  </si>
  <si>
    <t>Covestro Polymers (C: 28,808,882.90; Covestro Resins(Fosh: 14,571,702.62; Covestro Guangzhou/C: 14,072,351.44; Covestro (Thailand): 13,023,066.24</t>
  </si>
  <si>
    <t>What was the total Net sales (COSMOS) for COSMOS in H2 2025?</t>
  </si>
  <si>
    <t>1) Read from the COSMOS table (cos) , filtered to core_business_indicator IN (C,P,T). 2) Restrict calendar_day to 2025-07-01..2025-12-31. 3) SUM(kpi_cosmos__net_sales).</t>
  </si>
  <si>
    <t>SELECT ROUND(SUM(cos.kpi_cosmos__net_sales), 2) AS metric_value
FROM cos
WHERE cos.calendar_day BETWEEN '2025-07-01' AND '2025-12-31'
  AND cos.core_business_indicator IN ('C', 'P', 'T');</t>
  </si>
  <si>
    <t>35,976,986.59 EUR</t>
  </si>
  <si>
    <t>Show me Net sales (COSMOS) by marketing segment for Q1 2026, sorted highest to lowest</t>
  </si>
  <si>
    <t>1) Read from the COSMOS table (cos) , filtered to core_business_indicator IN (C,P,T). 2) Restrict calendar_day to 2026-01-01..2026-03-31. 3) GROUP BY marketing segment. 4) SUM(kpi_cosmos__net_sales) per group. 5) Sort descending, top 8.</t>
  </si>
  <si>
    <t>SELECT cos.marketing_level_02, ROUND(SUM(cos.kpi_cosmos__net_sales), 2) AS metric_value
FROM cos
WHERE cos.calendar_day BETWEEN '2026-01-01' AND '2026-03-31'
  AND cos.core_business_indicator IN ('C', 'P', 'T')
GROUP BY cos.marketing_level_02
ORDER BY metric_value DESC
LIMIT 8;</t>
  </si>
  <si>
    <t>PM: 12,309,948.20; EP: 4,488,702.79; CA: 194,538.54</t>
  </si>
  <si>
    <t>What was the total Variable product costs for COSMOS in Q2 2026?</t>
  </si>
  <si>
    <t>1) Read from the COSMOS table (cos) , filtered to core_business_indicator IN (C,P,T). 2) Restrict calendar_day to 2026-04-01..2026-06-30. 3) SUM(kpi_cosmos__product_costs__var).</t>
  </si>
  <si>
    <t>SELECT ROUND(SUM(cos.kpi_cosmos__product_costs__var), 2) AS metric_value
FROM cos
WHERE cos.calendar_day BETWEEN '2026-04-01' AND '2026-06-30'
  AND cos.core_business_indicator IN ('C', 'P', 'T');</t>
  </si>
  <si>
    <t>12,139,186.61 EUR</t>
  </si>
  <si>
    <t>Show me Variable product costs by region for H1 2025, sorted highest to lowest</t>
  </si>
  <si>
    <t>1) Read from the COSMOS table (cos) , filtered to core_business_indicator IN (C,P,T). 2) Restrict calendar_day to 2025-01-01..2025-06-30. 3) GROUP BY region. 4) SUM(kpi_cosmos__product_costs__var) per group. 5) Sort descending, top 8.</t>
  </si>
  <si>
    <t>SELECT cos.region_sold_to2, ROUND(SUM(cos.kpi_cosmos__product_costs__var), 2) AS metric_value
FROM cos
WHERE cos.calendar_day BETWEEN '2025-01-01' AND '2025-06-30'
  AND cos.core_business_indicator IN ('C', 'P', 'T')
GROUP BY cos.region_sold_to2
ORDER BY metric_value DESC
LIMIT 8;</t>
  </si>
  <si>
    <t>APAC: 11,620,404.86; NA: 4,756,945.61; EMEA: 4,209,110.53; Not assigned: 1,500,898.73</t>
  </si>
  <si>
    <t>What was the total Sales Adjustments (COSMOS) for COSMOS in FY2025?</t>
  </si>
  <si>
    <t>1) Read from the COSMOS table (cos) , filtered to core_business_indicator IN (C,P,T). 2) Restrict calendar_day to 2025-01-01..2025-12-31. 3) SUM(kpi_cosmos__sales_adjustments).</t>
  </si>
  <si>
    <t>SELECT ROUND(SUM(cos.kpi_cosmos__sales_adjustments), 2) AS metric_value
FROM cos
WHERE cos.calendar_day BETWEEN '2025-01-01' AND '2025-12-31'
  AND cos.core_business_indicator IN ('C', 'P', 'T');</t>
  </si>
  <si>
    <t>1,174,303.80 EUR</t>
  </si>
  <si>
    <t>Show me Sales Adjustments (COSMOS) by material for H1 2026, sorted highest to lowest</t>
  </si>
  <si>
    <t>1) Read from the COSMOS table (cos) , filtered to core_business_indicator IN (C,P,T). 2) Restrict calendar_day to 2026-01-01..2026-06-30. 3) GROUP BY material. 4) SUM(kpi_cosmos__sales_adjustments) per group. 5) Sort descending, top 8.</t>
  </si>
  <si>
    <t>SELECT cos.material2, ROUND(SUM(cos.kpi_cosmos__sales_adjustments), 2) AS metric_value
FROM cos
WHERE cos.calendar_day BETWEEN '2026-01-01' AND '2026-06-30'
  AND cos.core_business_indicator IN ('C', 'P', 'T')
GROUP BY cos.material2
ORDER BY metric_value DESC
LIMIT 8;</t>
  </si>
  <si>
    <t>DESMODUR T 80            0250,00 KG B13: 56,989.22; DESMODUR 44 V 70 L       0000,00 KG T01: 47,173.05; DESMODUR T 80            0000,00 KG T01: 33,428.92; B.T65XF         901510            BE100W: 32,727.18; HYPERLITE POLYOL1674(LA) 0000,00 KG T01: 29,705.11; M.AL2447P       550396            FA080M: 27,414.44; M.2805P CN      550115            BK150W: 26,749.95; DESMODUR T 80            0250,00 KG DR17: 26,594.99</t>
  </si>
  <si>
    <t>What was the total Sales deductions (COSMOS) for COSMOS in Q2 2025?</t>
  </si>
  <si>
    <t>1) Read from the COSMOS table (cos) , filtered to core_business_indicator IN (C,P,T). 2) Restrict calendar_day to 2025-04-01..2025-06-30. 3) SUM(kpi_cosmos__sales_deductions).</t>
  </si>
  <si>
    <t>SELECT ROUND(SUM(cos.kpi_cosmos__sales_deductions), 2) AS metric_value
FROM cos
WHERE cos.calendar_day BETWEEN '2025-04-01' AND '2025-06-30'
  AND cos.core_business_indicator IN ('C', 'P', 'T');</t>
  </si>
  <si>
    <t>903,677.36 EUR</t>
  </si>
  <si>
    <t>Show me Sales deductions (COSMOS) by plant for last 12 months, sorted highest to lowest</t>
  </si>
  <si>
    <t>1) Read from the COSMOS table (cos) , filtered to core_business_indicator IN (C,P,T). 2) Restrict calendar_day to 2025-08-15..2026-08-14. 3) GROUP BY plant. 4) SUM(kpi_cosmos__sales_deductions) per group. 5) Sort descending, top 8.</t>
  </si>
  <si>
    <t>SELECT cos.plant2, ROUND(SUM(cos.kpi_cosmos__sales_deductions), 2) AS metric_value
FROM cos
WHERE cos.calendar_day BETWEEN '2025-08-15' AND '2026-08-14'
  AND cos.core_business_indicator IN ('C', 'P', 'T')
GROUP BY cos.plant2
ORDER BY metric_value DESC
LIMIT 8;</t>
  </si>
  <si>
    <t>Not assigned: 391,507.51; PRD PM  WS CAO: 365,087.71; PRD CA  ISOCYANATES: 363,954.27; DCRP TOTAL DIST COLU: 360,417.84; PRD PM  MDI TRAIN CA: 355,317.40; DCRP MUSTERSERVICE D: 352,811.79; PRD EP  CPD GUA 4AAB: 336,608.94; PRD EP  CPD CAO B8KB: 331,021.78</t>
  </si>
  <si>
    <t>What was the total Total fixed manufacturing costs for COSMOS in H2 2025?</t>
  </si>
  <si>
    <t>1) Read from the COSMOS table (cos) , filtered to core_business_indicator IN (C,P,T). 2) Restrict calendar_day to 2025-07-01..2025-12-31. 3) SUM(kpi_cosmos__total_manufacturing).</t>
  </si>
  <si>
    <t>SELECT ROUND(SUM(cos.kpi_cosmos__total_manufacturing), 2) AS metric_value
FROM cos
WHERE cos.calendar_day BETWEEN '2025-07-01' AND '2025-12-31'
  AND cos.core_business_indicator IN ('C', 'P', 'T');</t>
  </si>
  <si>
    <t>5,058,068.05 EUR</t>
  </si>
  <si>
    <t>Show me Total fixed manufacturing costs by customer channel for Q1 2026, sorted highest to lowest</t>
  </si>
  <si>
    <t>1) Read from the COSMOS table (cos) , filtered to core_business_indicator IN (C,P,T). 2) Restrict calendar_day to 2026-01-01..2026-03-31. 3) GROUP BY customer channel. 4) SUM(kpi_cosmos__total_manufacturing) per group. 5) Sort descending, top 8.</t>
  </si>
  <si>
    <t>SELECT cos.customer_channel2, ROUND(SUM(cos.kpi_cosmos__total_manufacturing), 2) AS metric_value
FROM cos
WHERE cos.calendar_day BETWEEN '2026-01-01' AND '2026-03-31'
  AND cos.core_business_indicator IN ('C', 'P', 'T')
GROUP BY cos.customer_channel2
ORDER BY metric_value DESC
LIMIT 8;</t>
  </si>
  <si>
    <t>DIR-Direct: 1,236,556.56; IN-PLA TransPlant: 570,074.36; DIR-KA Large Account: 239,163.87; DIR-LT Long Tail (direct): 165,636.34; IN-DIS Distributor: 148,199.75</t>
  </si>
  <si>
    <t>What was the total On-time but incomplete deliveries for OTIF in Q2 2026?</t>
  </si>
  <si>
    <t>1) Read from the OTIF table (o). 2) Restrict act__gi_day to 2026-04-01..2026-06-30. 3) SUM(kpi_otif____ot_not_in_full).</t>
  </si>
  <si>
    <t>SELECT ROUND(SUM(o.kpi_otif____ot_not_in_full), 2) AS metric_value
FROM o
WHERE o.act__gi_day BETWEEN '2026-04-01' AND '2026-06-30';</t>
  </si>
  <si>
    <t>18.00 deliveries</t>
  </si>
  <si>
    <t>Show me On-time but incomplete deliveries by company for H1 2025, sorted highest to lowest</t>
  </si>
  <si>
    <t>1) Read from the OTIF table (o). 2) Restrict act__gi_day to 2025-01-01..2025-06-30. 3) GROUP BY company. 4) SUM(kpi_otif____ot_not_in_full) per group. 5) Sort descending, top 8.</t>
  </si>
  <si>
    <t>SELECT o.company_code2, ROUND(SUM(o.kpi_otif____ot_not_in_full), 2) AS metric_value
FROM o
WHERE o.act__gi_day BETWEEN '2025-01-01' AND '2025-06-30'
GROUP BY o.company_code2
ORDER BY metric_value DESC
LIMIT 8;</t>
  </si>
  <si>
    <t>None: 43.00</t>
  </si>
  <si>
    <t>What was the total OTIF-compliant deliveries for OTIF in FY2025?</t>
  </si>
  <si>
    <t>1) Read from the OTIF table (o). 2) Restrict act__gi_day to 2025-01-01..2025-12-31. 3) SUM(kpi_otif____otif).</t>
  </si>
  <si>
    <t>SELECT ROUND(SUM(o.kpi_otif____otif), 2) AS metric_value
FROM o
WHERE o.act__gi_day BETWEEN '2025-01-01' AND '2025-12-31';</t>
  </si>
  <si>
    <t>790.00 deliveries</t>
  </si>
  <si>
    <t>Show me OTIF-compliant deliveries by marketing segment for H1 2026, sorted highest to lowest</t>
  </si>
  <si>
    <t>1) Read from the OTIF table (o). 2) Restrict act__gi_day to 2026-01-01..2026-06-30. 3) GROUP BY marketing segment. 4) SUM(kpi_otif____otif) per group. 5) Sort descending, top 8.</t>
  </si>
  <si>
    <t>SELECT o.marketing_level_02, ROUND(SUM(o.kpi_otif____otif), 2) AS metric_value
FROM o
WHERE o.act__gi_day BETWEEN '2026-01-01' AND '2026-06-30'
GROUP BY o.marketing_level_02
ORDER BY metric_value DESC
LIMIT 8;</t>
  </si>
  <si>
    <t>PM: 320.00; EP: 92.00; CA: 12.00; ELA: 6.00; #: 5.00</t>
  </si>
  <si>
    <t>What was the total Deliveries with late goods issue for OTIF in Q2 2025?</t>
  </si>
  <si>
    <t>1) Read from the OTIF table (o). 2) Restrict act__gi_day to 2025-04-01..2025-06-30. 3) SUM(kpi_otif____late_gi).</t>
  </si>
  <si>
    <t>SELECT ROUND(SUM(o.kpi_otif____late_gi), 2) AS metric_value
FROM o
WHERE o.act__gi_day BETWEEN '2025-04-01' AND '2025-06-30';</t>
  </si>
  <si>
    <t>8.00 deliveries</t>
  </si>
  <si>
    <t>Show me Deliveries with late goods issue by region for last 12 months, sorted highest to lowest</t>
  </si>
  <si>
    <t>1) Read from the OTIF table (o). 2) Restrict act__gi_day to 2025-08-15..2026-08-14. 3) GROUP BY region. 4) SUM(kpi_otif____late_gi) per group. 5) Sort descending, top 8.</t>
  </si>
  <si>
    <t>SELECT o.region_sold_to2, ROUND(SUM(o.kpi_otif____late_gi), 2) AS metric_value
FROM o
WHERE o.act__gi_day BETWEEN '2025-08-15' AND '2026-08-14'
GROUP BY o.region_sold_to2
ORDER BY metric_value DESC
LIMIT 8;</t>
  </si>
  <si>
    <t>APAC: 14.00; EMEA: 9.00; NA: 7.00; Not assigned: 0.00</t>
  </si>
  <si>
    <t>What was the total Late and complete deliveries for OTIF in H2 2025?</t>
  </si>
  <si>
    <t>1) Read from the OTIF table (o). 2) Restrict act__gi_day to 2025-07-01..2025-12-31. 3) SUM(kpi_otif____late_if).</t>
  </si>
  <si>
    <t>SELECT ROUND(SUM(o.kpi_otif____late_if), 2) AS metric_value
FROM o
WHERE o.act__gi_day BETWEEN '2025-07-01' AND '2025-12-31';</t>
  </si>
  <si>
    <t>55.00 deliveries</t>
  </si>
  <si>
    <t>Show me Late and complete deliveries by material for Q1 2026, sorted highest to lowest</t>
  </si>
  <si>
    <t>1) Read from the OTIF table (o). 2) Restrict act__gi_day to 2026-01-01..2026-03-31. 3) GROUP BY material. 4) SUM(kpi_otif____late_if) per group. 5) Sort descending, top 8.</t>
  </si>
  <si>
    <t>SELECT o.material2, ROUND(SUM(o.kpi_otif____late_if), 2) AS metric_value
FROM o
WHERE o.act__gi_day BETWEEN '2026-01-01' AND '2026-03-31'
GROUP BY o.material2
ORDER BY metric_value DESC
LIMIT 8;</t>
  </si>
  <si>
    <t>DESMODUR 44 V 70 L       0000,00 KG T01: 2.00; DESMODUR T 80-CN         0000,00 KG T01: 1.00; ARCOL POLYOL 5613        0000,00 KG SH01: 1.00; M.2805P CN      550115            BK150W: 1.00; HYPERLITE POLYOL E-855   0000,00 KG T001: 1.00; DESMODUR T 80            0000,00 KG T01: 1.00; FREIGHT COST: 1.00; HYDROCHLORIC ACID 31 %   0000,00 KG T01: 1.00</t>
  </si>
  <si>
    <t>What was the total Late and not-in-full deliveries (NIF) for OTIF in Q2 2026?</t>
  </si>
  <si>
    <t>1) Read from the OTIF table (o). 2) Restrict act__gi_day to 2026-04-01..2026-06-30. 3) SUM(kpi_otif____late_nif).</t>
  </si>
  <si>
    <t>SELECT ROUND(SUM(o.kpi_otif____late_nif), 2) AS metric_value
FROM o
WHERE o.act__gi_day BETWEEN '2026-04-01' AND '2026-06-30';</t>
  </si>
  <si>
    <t>2.00 deliveries</t>
  </si>
  <si>
    <t>Show me Late and not-in-full deliveries (NIF) by plant for H1 2025, sorted highest to lowest</t>
  </si>
  <si>
    <t>1) Read from the OTIF table (o). 2) Restrict act__gi_day to 2025-01-01..2025-06-30. 3) GROUP BY plant. 4) SUM(kpi_otif____late_nif) per group. 5) Sort descending, top 8.</t>
  </si>
  <si>
    <t>SELECT o.plant2, ROUND(SUM(o.kpi_otif____late_nif), 2) AS metric_value
FROM o
WHERE o.act__gi_day BETWEEN '2025-01-01' AND '2025-06-30'
GROUP BY o.plant2
ORDER BY metric_value DESC
LIMIT 8;</t>
  </si>
  <si>
    <t>Not assigned: 1.00; DCRP TOTAL DIST COLU: 0.00; PRD EP  CPD MTP THAB: 0.00; PRD EP  CPD FLG: 0.00; PRD CA  ISOCYANATES: 0.00; PRD EP  CPD CAO B8KB: 0.00; PRD PM  WS CAO: 0.00; DCRP MUSTERSERVICE D: 0.00</t>
  </si>
  <si>
    <t>What was the total Deliveries with late order creation for OTIF in FY2025?</t>
  </si>
  <si>
    <t>1) Read from the OTIF table (o). 2) Restrict act__gi_day to 2025-01-01..2025-12-31. 3) SUM(kpi_otif____late_create).</t>
  </si>
  <si>
    <t>SELECT ROUND(SUM(o.kpi_otif____late_create), 2) AS metric_value
FROM o
WHERE o.act__gi_day BETWEEN '2025-01-01' AND '2025-12-31';</t>
  </si>
  <si>
    <t>34.00 deliveries</t>
  </si>
  <si>
    <t>What was the total Deliveries with transport delay for OTIF in Q2 2025?</t>
  </si>
  <si>
    <t>1) Read from the OTIF table (o). 2) Restrict act__gi_day to 2025-04-01..2025-06-30. 3) SUM(kpi_otif____late_transport).</t>
  </si>
  <si>
    <t>SELECT ROUND(SUM(o.kpi_otif____late_transport), 2) AS metric_value
FROM o
WHERE o.act__gi_day BETWEEN '2025-04-01' AND '2025-06-30';</t>
  </si>
  <si>
    <t>3.00 deliveries</t>
  </si>
  <si>
    <t>Show me Deliveries with transport delay by company for last 12 months, sorted highest to lowest</t>
  </si>
  <si>
    <t>1) Read from the OTIF table (o). 2) Restrict act__gi_day to 2025-08-15..2026-08-14. 3) GROUP BY company. 4) SUM(kpi_otif____late_transport) per group. 5) Sort descending, top 8.</t>
  </si>
  <si>
    <t>SELECT o.company_code2, ROUND(SUM(o.kpi_otif____late_transport), 2) AS metric_value
FROM o
WHERE o.act__gi_day BETWEEN '2025-08-15' AND '2026-08-14'
GROUP BY o.company_code2
ORDER BY metric_value DESC
LIMIT 8;</t>
  </si>
  <si>
    <t>None: 42.00</t>
  </si>
  <si>
    <t>What was the total Incomplete deliveries for OTIF in H2 2025?</t>
  </si>
  <si>
    <t>1) Read from the OTIF table (o). 2) Restrict act__gi_day to 2025-07-01..2025-12-31. 3) SUM(kpi_otif____not_in_full).</t>
  </si>
  <si>
    <t>SELECT ROUND(SUM(o.kpi_otif____not_in_full), 2) AS metric_value
FROM o
WHERE o.act__gi_day BETWEEN '2025-07-01' AND '2025-12-31';</t>
  </si>
  <si>
    <t>58.00 deliveries</t>
  </si>
  <si>
    <t>Show me Incomplete deliveries by marketing segment for Q1 2026, sorted highest to lowest</t>
  </si>
  <si>
    <t>1) Read from the OTIF table (o). 2) Restrict act__gi_day to 2026-01-01..2026-03-31. 3) GROUP BY marketing segment. 4) SUM(kpi_otif____not_in_full) per group. 5) Sort descending, top 8.</t>
  </si>
  <si>
    <t>SELECT o.marketing_level_02, ROUND(SUM(o.kpi_otif____not_in_full), 2) AS metric_value
FROM o
WHERE o.act__gi_day BETWEEN '2026-01-01' AND '2026-03-31'
GROUP BY o.marketing_level_02
ORDER BY metric_value DESC
LIMIT 8;</t>
  </si>
  <si>
    <t>PM: 25.00; EP: 8.00; #: 1.00; CA: 0.00; ELA: 0.00</t>
  </si>
  <si>
    <t>What was the total On-time deliveries for OTIF in Q2 2026?</t>
  </si>
  <si>
    <t>1) Read from the OTIF table (o). 2) Restrict act__gi_day to 2026-04-01..2026-06-30. 3) SUM(kpi_otif____on_time).</t>
  </si>
  <si>
    <t>SELECT ROUND(SUM(o.kpi_otif____on_time), 2) AS metric_value
FROM o
WHERE o.act__gi_day BETWEEN '2026-04-01' AND '2026-06-30';</t>
  </si>
  <si>
    <t>233.00 deliveries</t>
  </si>
  <si>
    <t>Show me On-time deliveries by region for H1 2025, sorted highest to lowest</t>
  </si>
  <si>
    <t>1) Read from the OTIF table (o). 2) Restrict act__gi_day to 2025-01-01..2025-06-30. 3) GROUP BY region. 4) SUM(kpi_otif____on_time) per group. 5) Sort descending, top 8.</t>
  </si>
  <si>
    <t>SELECT o.region_sold_to2, ROUND(SUM(o.kpi_otif____on_time), 2) AS metric_value
FROM o
WHERE o.act__gi_day BETWEEN '2025-01-01' AND '2025-06-30'
GROUP BY o.region_sold_to2
ORDER BY metric_value DESC
LIMIT 8;</t>
  </si>
  <si>
    <t>APAC: 207.00; NA: 117.00; EMEA: 93.00; Not assigned: 22.00</t>
  </si>
  <si>
    <t>What was the total Total deliveries for OTIF in FY2025?</t>
  </si>
  <si>
    <t>1) Read from the OTIF table (o). 2) Restrict act__gi_day to 2025-01-01..2025-12-31. 3) SUM(kpi_otif____total_deliveries).</t>
  </si>
  <si>
    <t>SELECT ROUND(SUM(o.kpi_otif____total_deliveries), 2) AS metric_value
FROM o
WHERE o.act__gi_day BETWEEN '2025-01-01' AND '2025-12-31';</t>
  </si>
  <si>
    <t>982.00 deliveries</t>
  </si>
  <si>
    <t>Show me Total deliveries by material for H1 2026, sorted highest to lowest</t>
  </si>
  <si>
    <t>1) Read from the OTIF table (o). 2) Restrict act__gi_day to 2026-01-01..2026-06-30. 3) GROUP BY material. 4) SUM(kpi_otif____total_deliveries) per group. 5) Sort descending, top 8.</t>
  </si>
  <si>
    <t>SELECT o.material2, ROUND(SUM(o.kpi_otif____total_deliveries), 2) AS metric_value
FROM o
WHERE o.act__gi_day BETWEEN '2026-01-01' AND '2026-06-30'
GROUP BY o.material2
ORDER BY metric_value DESC
LIMIT 8;</t>
  </si>
  <si>
    <t>DESMODUR T 80            0250,00 KG B13: 39.00; HYDROCHLORIC ACID 31 %   0000,00 KG T01: 27.00; DESMODUR 44 V 70 L       0000,00 KG T01: 27.00; SODIUM HYDRXD 50%NON NSF 0000,00 KG T001: 20.00; DESMODUR T 80            0000,00 KG T01: 19.00; LIQUID CAUSTIC SODA 50%  0000,00 KG R001: 19.00; DESMODUR 44 V 20 L CN    0250,00 KG B13: 17.00; M.AL2447P       550396            SASIWL: 15.00</t>
  </si>
  <si>
    <t>What was the total Total late deliveries for OTIF in Q2 2025?</t>
  </si>
  <si>
    <t>1) Read from the OTIF table (o). 2) Restrict act__gi_day to 2025-04-01..2025-06-30. 3) SUM(kpi_otif____total_late).</t>
  </si>
  <si>
    <t>SELECT ROUND(SUM(o.kpi_otif____total_late), 2) AS metric_value
FROM o
WHERE o.act__gi_day BETWEEN '2025-04-01' AND '2025-06-30';</t>
  </si>
  <si>
    <t>21.00 deliveries</t>
  </si>
  <si>
    <t>Show me Total late deliveries by plant for last 12 months, sorted highest to lowest</t>
  </si>
  <si>
    <t>1) Read from the OTIF table (o). 2) Restrict act__gi_day to 2025-08-15..2026-08-14. 3) GROUP BY plant. 4) SUM(kpi_otif____total_late) per group. 5) Sort descending, top 8.</t>
  </si>
  <si>
    <t>SELECT o.plant2, ROUND(SUM(o.kpi_otif____total_late), 2) AS metric_value
FROM o
WHERE o.act__gi_day BETWEEN '2025-08-15' AND '2026-08-14'
GROUP BY o.plant2
ORDER BY metric_value DESC
LIMIT 8;</t>
  </si>
  <si>
    <t>PRD EP  CPD GUA 4AAB: 16.00; PRD CA  ISOCYANATES: 16.00; PRD EP  CPD CAO B8KB: 14.00; PRD PM  WS CAO: 13.00; DCRP TOTAL DIST COLU: 12.00; DCRP MUSTERSERVICE D: 12.00; Not assigned: 9.00; PRD EP  CPD MTP THAB: 7.00</t>
  </si>
  <si>
    <t>What was the total Total late and/or incomplete deliveries for OTIF in H2 2025?</t>
  </si>
  <si>
    <t>1) Read from the OTIF table (o). 2) Restrict act__gi_day to 2025-07-01..2025-12-31. 3) SUM(kpi_otif____total_late_ot_nif).</t>
  </si>
  <si>
    <t>SELECT ROUND(SUM(o.kpi_otif____total_late_ot_nif), 2) AS metric_value
FROM o
WHERE o.act__gi_day BETWEEN '2025-07-01' AND '2025-12-31';</t>
  </si>
  <si>
    <t>113.00 deliveries</t>
  </si>
  <si>
    <t>What was the total Agreed delivery quantity for OTIF in Q2 2026?</t>
  </si>
  <si>
    <t>1) Read from the OTIF table (o). 2) Restrict act__gi_day to 2026-04-01..2026-06-30. 3) SUM(kpi_otif__1__agreed_quantity_kg).</t>
  </si>
  <si>
    <t>SELECT ROUND(SUM(o.kpi_otif__1__agreed_quantity_kg), 2) AS metric_value
FROM o
WHERE o.act__gi_day BETWEEN '2026-04-01' AND '2026-06-30';</t>
  </si>
  <si>
    <t>3,328,200.38 kg</t>
  </si>
  <si>
    <t>Show me Agreed delivery quantity by company for H1 2025, sorted highest to lowest</t>
  </si>
  <si>
    <t>1) Read from the OTIF table (o). 2) Restrict act__gi_day to 2025-01-01..2025-06-30. 3) GROUP BY company. 4) SUM(kpi_otif__1__agreed_quantity_kg) per group. 5) Sort descending, top 8.</t>
  </si>
  <si>
    <t>SELECT o.company_code2, ROUND(SUM(o.kpi_otif__1__agreed_quantity_kg), 2) AS metric_value
FROM o
WHERE o.act__gi_day BETWEEN '2025-01-01' AND '2025-06-30'
GROUP BY o.company_code2
ORDER BY metric_value DESC
LIMIT 8;</t>
  </si>
  <si>
    <t>None: 6,018,059.78</t>
  </si>
  <si>
    <t>What was the total Actually delivered quantity for OTIF in FY2025?</t>
  </si>
  <si>
    <t>1) Read from the OTIF table (o). 2) Restrict act__gi_day to 2025-01-01..2025-12-31. 3) SUM(kpi_otif__delivery_quantity_kg).</t>
  </si>
  <si>
    <t>SELECT ROUND(SUM(o.kpi_otif__delivery_quantity_kg), 2) AS metric_value
FROM o
WHERE o.act__gi_day BETWEEN '2025-01-01' AND '2025-12-31';</t>
  </si>
  <si>
    <t>12,160,314.01 kg</t>
  </si>
  <si>
    <t>Show me Actually delivered quantity by marketing segment for H1 2026, sorted highest to lowest</t>
  </si>
  <si>
    <t>1) Read from the OTIF table (o). 2) Restrict act__gi_day to 2026-01-01..2026-06-30. 3) GROUP BY marketing segment. 4) SUM(kpi_otif__delivery_quantity_kg) per group. 5) Sort descending, top 8.</t>
  </si>
  <si>
    <t>SELECT o.marketing_level_02, ROUND(SUM(o.kpi_otif__delivery_quantity_kg), 2) AS metric_value
FROM o
WHERE o.act__gi_day BETWEEN '2026-01-01' AND '2026-06-30'
GROUP BY o.marketing_level_02
ORDER BY metric_value DESC
LIMIT 8;</t>
  </si>
  <si>
    <t>PM: 4,798,298.16; EP: 1,352,706.90; CA: 195,005.19; ELA: 107,229.25; #: 36,285.44</t>
  </si>
  <si>
    <t>What was the total Overdelivery quantity for OTIF in Q2 2025?</t>
  </si>
  <si>
    <t>1) Read from the OTIF table (o). 2) Restrict act__gi_day to 2025-04-01..2025-06-30. 3) SUM(kpi_otif__overdelivery_kg).</t>
  </si>
  <si>
    <t>Overdelivery quantity</t>
  </si>
  <si>
    <t>SELECT ROUND(SUM(o.kpi_otif__overdelivery_kg), 2) AS metric_value
FROM o
WHERE o.act__gi_day BETWEEN '2025-04-01' AND '2025-06-30';</t>
  </si>
  <si>
    <t>0.00 kg</t>
  </si>
  <si>
    <t>Show me Overdelivery quantity by region for last 12 months, sorted highest to lowest</t>
  </si>
  <si>
    <t>1) Read from the OTIF table (o). 2) Restrict act__gi_day to 2025-08-15..2026-08-14. 3) GROUP BY region. 4) SUM(kpi_otif__overdelivery_kg) per group. 5) Sort descending, top 8.</t>
  </si>
  <si>
    <t>SELECT o.region_sold_to2, ROUND(SUM(o.kpi_otif__overdelivery_kg), 2) AS metric_value
FROM o
WHERE o.act__gi_day BETWEEN '2025-08-15' AND '2026-08-14'
GROUP BY o.region_sold_to2
ORDER BY metric_value DESC
LIMIT 8;</t>
  </si>
  <si>
    <t>EMEA: 0.00; Not assigned: 0.00; NA: 0.00; APAC: 0.00</t>
  </si>
  <si>
    <t>What was the total Quantity deviation for OTIF in H2 2025?</t>
  </si>
  <si>
    <t>1) Read from the OTIF table (o). 2) Restrict act__gi_day to 2025-07-01..2025-12-31. 3) SUM(kpi_otif__qty_deviation_kg).</t>
  </si>
  <si>
    <t>Quantity deviation</t>
  </si>
  <si>
    <t>SELECT ROUND(SUM(o.kpi_otif__qty_deviation_kg), 2) AS metric_value
FROM o
WHERE o.act__gi_day BETWEEN '2025-07-01' AND '2025-12-31';</t>
  </si>
  <si>
    <t>-191,463.43 kg</t>
  </si>
  <si>
    <t>Show me Quantity deviation by material for Q1 2026, sorted highest to lowest</t>
  </si>
  <si>
    <t>1) Read from the OTIF table (o). 2) Restrict act__gi_day to 2026-01-01..2026-03-31. 3) GROUP BY material. 4) SUM(kpi_otif__qty_deviation_kg) per group. 5) Sort descending, top 8.</t>
  </si>
  <si>
    <t>SELECT o.material2, ROUND(SUM(o.kpi_otif__qty_deviation_kg), 2) AS metric_value
FROM o
WHERE o.act__gi_day BETWEEN '2026-01-01' AND '2026-03-31'
GROUP BY o.material2
ORDER BY metric_value DESC
LIMIT 8;</t>
  </si>
  <si>
    <t>FREIGHT COST: 0.00; MONDUR MR LIGHT          0227,00 KG D008: 0.00; HYDROCHLORIC ACID 31%    0000,00 KG R01: 0.00; HYPERLITE POLYOL1674(LA) 0000,00 KG T01: 0.00; M.AL2447P       550396            FA080M: 0.00; DESMODUR L 75 (C)-CN     0225,00 KG B01: 0.00; SODIUMHYDROXIDE LIQ.50%  0000,00 KG T01: 0.00; M.2407C         901510            BK150W: 0.00</t>
  </si>
  <si>
    <t>What was the total Underdelivery quantity for OTIF in Q2 2026?</t>
  </si>
  <si>
    <t>1) Read from the OTIF table (o). 2) Restrict act__gi_day to 2026-04-01..2026-06-30. 3) SUM(kpi_otif__underdelivery_kg).</t>
  </si>
  <si>
    <t>Underdelivery quantity</t>
  </si>
  <si>
    <t>SELECT ROUND(SUM(o.kpi_otif__underdelivery_kg), 2) AS metric_value
FROM o
WHERE o.act__gi_day BETWEEN '2026-04-01' AND '2026-06-30';</t>
  </si>
  <si>
    <t>61,936.40 kg</t>
  </si>
  <si>
    <t>Show me Underdelivery quantity by plant for H1 2025, sorted highest to lowest</t>
  </si>
  <si>
    <t>1) Read from the OTIF table (o). 2) Restrict act__gi_day to 2025-01-01..2025-06-30. 3) GROUP BY plant. 4) SUM(kpi_otif__underdelivery_kg) per group. 5) Sort descending, top 8.</t>
  </si>
  <si>
    <t>SELECT o.plant2, ROUND(SUM(o.kpi_otif__underdelivery_kg), 2) AS metric_value
FROM o
WHERE o.act__gi_day BETWEEN '2025-01-01' AND '2025-06-30'
GROUP BY o.plant2
ORDER BY metric_value DESC
LIMIT 8;</t>
  </si>
  <si>
    <t>PRD PM  WS CAO: 25,426.14; Not assigned: 21,824.47; PRD EP  CPD FLG: 21,171.87; DCRP MUSTERSERVICE D: 20,203.83; PRD CA  ISOCYANATES: 15,522.48; DCRP TOTAL DIST COLU: 13,799.37; PRD PM  MDI TRAIN CA: 10,423.03; PRD EP  CPD CAO B8KB: 7,102.11</t>
  </si>
  <si>
    <t>What was the total Order Volume for Sales in FY2025?</t>
  </si>
  <si>
    <t>1) Read from the Sales table (s) , filtered to core_business_indicator IN (C,P,T). 2) Restrict act__gi_day to 2025-01-01..2025-12-31. 3) SUM(kpi_sales__delivery_quantity_kg).</t>
  </si>
  <si>
    <t>SELECT ROUND(SUM(s.kpi_sales__delivery_quantity_kg), 2) AS metric_value
FROM s
WHERE s.act__gi_day BETWEEN '2025-01-01' AND '2025-12-31'
  AND s.core_business_indicator IN ('C', 'P', 'T');</t>
  </si>
  <si>
    <t>8,078,770.32 kg</t>
  </si>
  <si>
    <t>What was the total Net value of delivery item for Sales in Q2 2025?</t>
  </si>
  <si>
    <t>1) Read from the Sales table (s) , filtered to core_business_indicator IN (C,P,T). 2) Restrict act__gi_day to 2025-04-01..2025-06-30. 3) SUM(kpi_sales__net_value_deliv__dc).</t>
  </si>
  <si>
    <t>SELECT ROUND(SUM(s.kpi_sales__net_value_deliv__dc), 2) AS metric_value
FROM s
WHERE s.act__gi_day BETWEEN '2025-04-01' AND '2025-06-30'
  AND s.core_business_indicator IN ('C', 'P', 'T');</t>
  </si>
  <si>
    <t>16,059,960.52 DC</t>
  </si>
  <si>
    <t>Show me Net value of delivery item by company for last 12 months, sorted highest to lowest</t>
  </si>
  <si>
    <t>1) Read from the Sales table (s) , filtered to core_business_indicator IN (C,P,T). 2) Restrict act__gi_day to 2025-08-15..2026-08-14. 3) GROUP BY company. 4) SUM(kpi_sales__net_value_deliv__dc) per group. 5) Sort descending, top 8.</t>
  </si>
  <si>
    <t>SELECT s.company_code2, ROUND(SUM(s.kpi_sales__net_value_deliv__dc), 2) AS metric_value
FROM s
WHERE s.act__gi_day BETWEEN '2025-08-15' AND '2026-08-14'
  AND s.core_business_indicator IN ('C', 'P', 'T')
GROUP BY s.company_code2
ORDER BY metric_value DESC
LIMIT 8;</t>
  </si>
  <si>
    <t>None: 70,934,666.47</t>
  </si>
  <si>
    <t>What was the total Net value of delivery for Sales in H2 2025?</t>
  </si>
  <si>
    <t>1) Read from the Sales table (s) , filtered to core_business_indicator IN (C,P,T). 2) Restrict act__gi_day to 2025-07-01..2025-12-31. 3) SUM(kpi_sales__net_value_delivery_eur).</t>
  </si>
  <si>
    <t>SELECT ROUND(SUM(s.kpi_sales__net_value_delivery_eur), 2) AS metric_value
FROM s
WHERE s.act__gi_day BETWEEN '2025-07-01' AND '2025-12-31'
  AND s.core_business_indicator IN ('C', 'P', 'T');</t>
  </si>
  <si>
    <t>35,421,035.56 EUR</t>
  </si>
  <si>
    <t>Show me Net value of delivery by marketing segment for Q1 2026, sorted highest to lowest</t>
  </si>
  <si>
    <t>1) Read from the Sales table (s) , filtered to core_business_indicator IN (C,P,T). 2) Restrict act__gi_day to 2026-01-01..2026-03-31. 3) GROUP BY marketing segment. 4) SUM(kpi_sales__net_value_delivery_eur) per group. 5) Sort descending, top 8.</t>
  </si>
  <si>
    <t>SELECT s.marketing_level_02, ROUND(SUM(s.kpi_sales__net_value_delivery_eur), 2) AS metric_value
FROM s
WHERE s.act__gi_day BETWEEN '2026-01-01' AND '2026-03-31'
  AND s.core_business_indicator IN ('C', 'P', 'T')
GROUP BY s.marketing_level_02
ORDER BY metric_value DESC
LIMIT 8;</t>
  </si>
  <si>
    <t>PM: 13,122,117.75; EP: 3,901,834.39; CA: 882,242.44</t>
  </si>
  <si>
    <t>KPI CARDS</t>
  </si>
  <si>
    <t>One row per KPI card widget. KPI cards display a single headline metric with a comparison badge. They run SQL directly — no AI generation. The SQL must return exactly one row.</t>
  </si>
  <si>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</si>
  <si>
    <t>card_id</t>
  </si>
  <si>
    <t>card_title</t>
  </si>
  <si>
    <t>main_value_description</t>
  </si>
  <si>
    <t>main_value_sql</t>
  </si>
  <si>
    <t>comparison_label</t>
  </si>
  <si>
    <t>comparison_sql</t>
  </si>
  <si>
    <t>footnote</t>
  </si>
  <si>
    <t>target_value</t>
  </si>
  <si>
    <t>favorable_direction</t>
  </si>
  <si>
    <t>kpi_net_sales_mtd</t>
  </si>
  <si>
    <t>Net Sales</t>
  </si>
  <si>
    <t>Total Net Sales for the current month, in € millions</t>
  </si>
  <si>
    <t>SELECT ROUND(SUM(c.KPI_COPA__NET_SALES) / 1000000.0, 2) AS metric_value
FROM cop c
WHERE c.core_business_indicator IN ('C', 'P', 'T') AND c.POSTING_DATE &gt;= DATE_TRUNC('month', CURRENT_DATE)
  AND c.POSTING_DATE &lt;= CURRENT_DATE;</t>
  </si>
  <si>
    <t>vs. prior year (same month), %</t>
  </si>
  <si>
    <t>WITH curr AS (
  SELECT SUM(c.KPI_COPA__NET_SALES) AS net_sales
  FROM cop c
  WHERE  c.core_business_indicator IN ('C', 'P', 'T') AND c.POSTING_DATE &gt;= DATE_TRUNC('month', CURRENT_DATE)
    AND c.POSTING_DATE &lt;= CURRENT_DATE
),
prior AS (
  SELECT SUM(c.KPI_COPA__NET_SALES) AS net_sales
  FROM cop c
  WHERE  c.core_business_indicator IN ('C', 'P', 'T') AND c.POSTING_DATE &gt;= DATEADD(year, -1, DATE_TRUNC('month', CURRENT_DATE))
    AND c.POSTING_DATE &lt;= DATE_TRUNC('month', CURRENT_DATE - INTERVAL '1 year')  
SELECT ROUND(100.0 * (curr.net_sales - prior.net_sales) / NULLIF(prior.net_sales, 0), 1) AS metric_value
FROM curr, prior;</t>
  </si>
  <si>
    <t>vs prior year</t>
  </si>
  <si>
    <t>higher</t>
  </si>
  <si>
    <t xml:space="preserve">Total Net Sales from copa source for the current month, in € millions
Single-table query against copa, alias cop.
Uses  the column KPI_COPA__NET_SALES directly (= Gross Sales - Sales Deductions). 
core_business_indicator IN ('C','P','T') scoping; 
SUM(KPI_COPA__NET_SALES) in EURM; 
Month-to-Date MTD window on posting_date; 
YoY comparison badge, same-day cutoff. </t>
  </si>
  <si>
    <t>kpi_cmi1_ytd</t>
  </si>
  <si>
    <t>Marginal Income 1</t>
  </si>
  <si>
    <t>Consolidated Marginal Income I, year-to-date, in € millions</t>
  </si>
  <si>
    <t>SELECT ROUND(SUM(cm.KPI_COSMOS__CONSOLIDATED_MARGIN_I) / 1000000.0, 2) AS metric_value
FROM cos cm
WHERE  cm.core_business_indicator IN ('C', 'P', 'T') AND cm.CALENDAR_DAY &gt;= DATE_TRUNC('year', CURRENT_DATE)
  AND cm.CALENDAR_DAY &lt;= CURRENT_DATE;</t>
  </si>
  <si>
    <t>vs. prior year, %</t>
  </si>
  <si>
    <t>WITH curr AS (
  SELECT SUM(cm.KPI_COSMOS__CONSOLIDATED_MARGIN_I) AS cmi1
  FROM cos cm
  WHERE   cm.core_business_indicator IN ('C', 'P', 'T') AND cm.CALENDAR_DAY &gt;= DATE_TRUNC('year', CURRENT_DATE)
    AND cm.CALENDAR_DAY &lt;= CURRENT_DATE
),
prior AS (
  SELECT SUM(cm.KPI_COSMOS__CONSOLIDATED_MARGIN_I) AS cmi1
  FROM cos cm
  WHERE   cm.core_business_indicator IN ('C', 'P', 'T') AND cm.calendar_day &gt;= DATE_TRUNC('year', CURRENT_DATE - INTERVAL '1 year')
    AND cm.calendar_day &lt;= CURRENT_DATE - INTERVAL '1 year'
)
SELECT ROUND(100.0 * (curr.cmi1 - prior.cmi1) / NULLIF(prior.cmi1, 0), 1) AS metric_value
FROM curr, prior;</t>
  </si>
  <si>
    <t xml:space="preserve">Single-table query against cosmos, alias cos. Uses the column KPI_COSMOS__CONSOLIDATED_MARGIN_I  column directly (validated = Net Proceeds - Product Costs Var).
- Source: COSMOS only, filtered to Core Business Indicator IN ('C','P','T') (same core-business scoping as the Net Sales card).
- Metric: SUM(Consolidated Marginal Income I) in €M — COSMOS's pre-computed margin figure, which we verified earlier equals Net Proceeds − Product Costs (Variable).
- Window: year-to-date, Calendar Day between Jan 1 of the current year and today.
- Comparison: same YTD window, one year earlier, expressed as % change. favorable_direction = higher.
</t>
  </si>
  <si>
    <t>kpi_volume_mtd</t>
  </si>
  <si>
    <t>Total delivered volume for the current month, in kg</t>
  </si>
  <si>
    <t xml:space="preserve">SELECT ROUND(SUM(s.KPI_SALES__DELIVERY_QUANTITY_KG), 0) AS metric_value
FROM sales s
WHERE  s.core_business_indicator IN ('C', 'P', 'T') AND s.ACT__GI_DAY &gt;= DATE_TRUNC('month', CURRENT_DATE)
  AND s.ACT__GI_DAY &lt;= CURRENT_DATE;
</t>
  </si>
  <si>
    <t>vs. prior month, %</t>
  </si>
  <si>
    <t>WITH curr AS (
  SELECT SUM(s.KPI_SALES__DELIVERY_QUANTITY_KG) AS volume
  FROM sales s
  WHERE s.core_business_indicator IN ('C', 'P', 'T') AND s.ACT__GI_DAY &gt;= DATE_TRUNC('month', CURRENT_DATE)
    AND s.ACT__GI_DAY &lt;= CURRENT_DATE
),
prior AS (
  SELECT SUM(s.KPI_SALES__DELIVERY_QUANTITY_KG) AS volume
  FROM sales s
  WHERE s.core_business_indicator IN ('C', 'P', 'T')  AND s.act__gi_day &gt;= DATE_TRUNC('month', CURRENT_DATE - INTERVAL '1 month')
    AND s.act__gi_day &lt;= CURRENT_DATE - INTERVAL '1 month'
)
SELECT ROUND(100.0 * (curr.volume - prior.volume) / NULLIF(prior.volume, 0), 1) AS metric_value
FROM curr, prior;</t>
  </si>
  <si>
    <t>vs prior month</t>
  </si>
  <si>
    <t xml:space="preserve">Single-table query against sales. Uses the column KPI_SALES__DELIVERY_QUANTITY_KG directly and filtered on ACT__GI_DAY.
- Source: Sales only, same core-business filter.
- Metric: SUM(Delivery Quantity KG) — raw kilograms shipped, no unit conversion.
- Window: month-to-date on Act. GI Day (actual goods-issue/delivery date — the physical shipment date, not a financial posting date).
- Comparison: vs. prior month, same day-of-month cutoff.
</t>
  </si>
  <si>
    <t>kpi_wat_mtd</t>
  </si>
  <si>
    <t>Weighted average term</t>
  </si>
  <si>
    <t>The amount-weighted average payment term across accounts receivable for the current month. WAT measures how many days, on average (weighted by invoice amount in EUR), it takes to collect payment.</t>
  </si>
  <si>
    <t>SELECT ROUND(
  SUM(kd.KPI_AR_KEYDATE__WEIGHTED_WOC_TARGET_DAYS)
  / NULLIF(SUM(kd.KPI_AR_KEYDATE__AMOUNT_IN_EUR), 0), 1) AS wat_open_days
FROM kd
WHERE kd.POSTING_DATE &gt;= DATE_TRUNC('month', CURRENT_DATE)
  AND kd.POSTING_DATE&lt;= CURRENT_DATE;</t>
  </si>
  <si>
    <t>vs. target, days</t>
  </si>
  <si>
    <t>WITH actual AS (
  SELECT SUM(kd.KPI_AR_KEYDATE__WEIGHTED_WOC_TARGET_DAYS)
         / NULLIF(SUM(kd.KPI_AR_KEYDATE__AMOUNT_IN_EUR), 0) AS wat
  FROM  kd
  WHERE kd.posting_date &gt;= DATE_TRUNC('month', CURRENT_DATE)
    AND kd.posting_date &lt;= CURRENT_DATE
),
target AS (
  SELECT SUM(kd.KPI_AR_KEYDATE__WEIGHTED_TARGET_DAYS) / NULLIF(SUM(kd.KPI_AR_KEYDATE__AMOUNT_IN_EUR), 0) AS target_days
  FROM  kd
  WHERE  kd.posting_date &gt;= DATE_TRUNC('month', CURRENT_DATE)
    AND kd.posting_date &lt;= CURRENT_DATE
)
SELECT
  ROUND(actual.wat, 1) AS actual_wat_days,
  ROUND(target.target_days, 1) AS target_wat_days,
  ROUND(actual.wat - target.target_days, 1) AS deviation_days
FROM actual, target;</t>
  </si>
  <si>
    <t>vs target</t>
  </si>
  <si>
    <t>lower</t>
  </si>
  <si>
    <t xml:space="preserve"> AR-KeyDate</t>
  </si>
  <si>
    <t>Single-table query against AR-KeyDate. Uses the column KPI_AR_KEYDATE__WEIGHTED_WOC_TARGET_DAYS and KPI_AR_KEYDATE__WEIGHTED_TARGET_DAYS directly and filtered on posting_date .</t>
  </si>
  <si>
    <t>kpi_otif_mtd</t>
  </si>
  <si>
    <t>OTIF %</t>
  </si>
  <si>
    <t>Percentage of deliveries completed on time and in full for the current month</t>
  </si>
  <si>
    <t>SELECT ROUND(100.0 * SUM(o.KPI_OTIF____OTIF) / NULLIF(SUM(o.KPI_OTIF____TOTAL_DELIVERIES), 0), 1) AS metric_value
FROM otif o
WHERE o.ACT__GI_DAY&gt;= DATE_TRUNC('month', CURRENT_DATE)
  AND o.ACT__GI_DAY&lt;= CURRENT_DATE;</t>
  </si>
  <si>
    <t>vs. prior month, pp</t>
  </si>
  <si>
    <t>WITH curr AS (
  SELECT 100.0 * SUM(o.KPI_OTIF____OTIF) / NULLIF(SUM(o.KPI_OTIF____TOTAL_DELIVERIES), 0) AS pct
  FROM otif o
  WHERE  o.ACT__GI_DAY&gt;= DATE_TRUNC('month', CURRENT_DATE)
    AND o.ACT__GI_DAY &lt;= CURRENT_DATE
),
prior AS (
  SELECT 100.0 * SUM(o.KPI_OTIF____OTIF) / NULLIF(SUM(o.KPI_OTIF____TOTAL_DELIVERIES), 0) AS pct
  FROM otif o
  WHERE o.act__gi_day &gt;= DATE_TRUNC('month', CURRENT_DATE - INTERVAL '1 month')
    AND o.act__gi_day &lt;= CURRENT_DATE - INTERVAL '1 month'
)
SELECT ROUND(curr.pct - prior.pct, 1) AS metric_value
FROM curr, prior;</t>
  </si>
  <si>
    <t>Single-table query against otif. KPI_OTIF____OTIF and KPI_OTIF____TOTAL_DELIVERIES are confirmed used for calculation.
- Ratio-of-sums not AVG(), MTD on Act. GI Day, comparison vs prior month as pp difference.</t>
  </si>
  <si>
    <t>kpi_cmi1_pct_ytd</t>
  </si>
  <si>
    <t>Consolidated Marginal Income I as a percentage of Net Sales, year-to-date</t>
  </si>
  <si>
    <t>SELECT ROUND(100.0 * SUM(cm.KPI_COSMOS__CONSOLIDATED_MARGIN_I) / NULLIF(SUM(cm.KPI_COSMOS__NET_SALES), 0), 1) AS metric_value
FROM cos cm
WHERE cm.core_business_indicator IN ('C', 'P', 'T') AND cm.calendar_day &gt;= DATE_TRUNC('year', CURRENT_DATE)
  AND cm.calendar_day &lt;= CURRENT_DATE;</t>
  </si>
  <si>
    <t>vs. prior year, pp</t>
  </si>
  <si>
    <t>WITH curr AS (
  SELECT 100.0 * SUM(cm.KPI_COSMOS__CONSOLIDATED_MARGIN_I) / NULLIF(SUM(cm.KPI_COSMOS__NET_SALES), 0) AS pct
  FROM cos cm
  WHERE cm.core_business_indicator IN ('C', 'P', 'T') AND cm.calendar_day &gt;= DATE_TRUNC('year', CURRENT_DATE)
    AND cm.calendar_day &lt;= CURRENT_DATE
),
prior AS (
  SELECT 100.0 * SUM(cm.KPI_COSMOS__CONSOLIDATED_MARGIN_I) / NULLIF(SUM(cm.KPI_COSMOS__NET_SALES), 0) AS pct
  FROM cos cm
  WHERE cm.core_business_indicator IN ('C', 'P', 'T') AND cm.calendar_day &gt;= DATE_TRUNC('year', CURRENT_DATE - INTERVAL '1 year')
    AND cm.calendar_day &lt;= CURRENT_DATE - INTERVAL '1 year'
)
SELECT ROUND(curr.pct - prior.pct, 1) AS metric_value
FROM curr, prior;</t>
  </si>
  <si>
    <t xml:space="preserve">Single-table query against cosmos. Denominator is the stored KPI_COSMOS__NET_SALES column (Gross Sales - Sales Deductions).
- Source: COSMOS only, same core-business filter.
- Metric: 100 × SUM(CMI I) / SUM(Net Sales) — margin rate, i.e., what share of revenue converts to marginal income after variable product costs. This is a ratio-of-sums, not a row-level average — correct approach for a margin percentage 
- Window/comparison: YTD vs. same YTD window last year, reported as a percentage-point difference (curr.pct − prior.pct), not a percent-change-of-a-percent — an important distinction the dashboard/badge rendering needs to get right (label says "pp", and the SQL correctly does a plain subtraction, not a ratio).
</t>
  </si>
  <si>
    <t>🟡 Yellow rows = example KPI card definitions. {placeholders} are resolved at runtime. Verify each SQL returns exactly ONE row before deploying.</t>
  </si>
  <si>
    <t>PERFORMANCE PULSE</t>
  </si>
  <si>
    <t>One row per Performance Pulse widget. Each widget runs SQL, then the AI generates a structured response (chart + table + narrative) according to the output_format template. Different from KPI cards — these produce generated language.</t>
  </si>
  <si>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</si>
  <si>
    <t>pp_id</t>
  </si>
  <si>
    <t>pp_grouping</t>
  </si>
  <si>
    <t>pp_title</t>
  </si>
  <si>
    <t>what_it_shows</t>
  </si>
  <si>
    <t>ground_truth</t>
  </si>
  <si>
    <t>output_format</t>
  </si>
  <si>
    <t>sample_prompt</t>
  </si>
  <si>
    <t>testing_notes</t>
  </si>
  <si>
    <t>PP-01</t>
  </si>
  <si>
    <t>Financial Performance – Seller View</t>
  </si>
  <si>
    <t>Financial Performance per Customer – MM YYYY YTD</t>
  </si>
  <si>
    <t>🟡 Yellow rows = example Performance Pulse definitions. ground_truth values must be verified against your actual data. output_format is the exact template the AI follows.</t>
  </si>
  <si>
    <t>DAILY NEWS LOGIC</t>
  </si>
  <si>
    <t>One row per Daily News item. Each news item is automatically generated daily by the AI using the SQL query, formatted according to the headline and body templates, and verified against the ground truth numbers.</t>
  </si>
  <si>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</si>
  <si>
    <t>news_id</t>
  </si>
  <si>
    <t>news_item_title</t>
  </si>
  <si>
    <t>why_it_adds_value</t>
  </si>
  <si>
    <t>headline_template</t>
  </si>
  <si>
    <t>body_format</t>
  </si>
  <si>
    <t>chart_spec</t>
  </si>
  <si>
    <t>status</t>
  </si>
  <si>
    <t>DN-01</t>
  </si>
  <si>
    <t>Net Sales Surprises vs 7-Day Average</t>
  </si>
  <si>
    <t>The regions (ship-to) whose daily Net Sales deviated most from their own trailing 7-day average yesterday, split into biggest positive and biggest negative surprises, ranked by € impact.</t>
  </si>
  <si>
    <t>Surfaces fresh day-to-day momentum shifts and regional anomalies that a monthly or quarterly view would smooth over and hide.</t>
  </si>
  <si>
    <t>copa</t>
  </si>
  <si>
    <t>[Region A] +$[X] vs 7-day avg; [Region B] -$[Y] vs 7-day avg.</t>
  </si>
  <si>
    <t>Sentence 1 (today vs 7-day avg): "Today's Net Sales per region: [Region A] posted upside with +$[X] vs its 7-day average (+[Pct_A]%), while [Region B] came in -$[Y] below average (-[Pct_B]%)."
Sentence 2 (summary): "Net daily surprise across all regions: +$[Net] ([N_above] regions above average, [N_below] below)."</t>
  </si>
  <si>
    <t xml:space="preserve">1) Today's Net Sales per Region ship-to: SUM(net_sales) FROM copa WHERE posting_date = {as_of_date}, GROUP BY region_ship_to.
2) Trailing 7-day average per region: AVG of the 7 daily SUM(net_sales) totals for the 7 calendar days immediately before {as_of_date} (excludes {as_of_date} itself).
3) Filter to core business only: core_business_indicator IN ('C','P','T') 
4) Exclude region_ship_to = 'Not assigned' (placeholder value, not a real region).
5) Deviation € = today's value − 7-day average. Deviation % = Deviation € / 7-day average × 100.
6) Rank regions by deviation € descending; report top 2 positive and top 2 negative.
7) as_of_date must be the last day with a representative row count for its weekday, not simply MAX(posting_date) -- the raw latest date can be a partial extract day
</t>
  </si>
  <si>
    <t>TBD — cannot be derived from the sample data provided. Sample KPI values are randomly obfuscated per row.</t>
  </si>
  <si>
    <t>WITH daily_by_region AS (
    SELECT region_ship_to,
           posting_date,
           SUM(KPI_COPA__NET_SALES) AS net_sales
    FROM   copa
    WHERE  
      core_business_indicator IN ('C','P','T')
      AND  region_ship_to != 'Not assigned'
      AND  posting_date BETWEEN {as_of_date} - INTERVAL '7 days' AND {as_of_date}
    GROUP BY region_ship_to, posting_date
),
today AS (
    SELECT region_ship_to,
           net_sales AS today_sales
    FROM   daily_by_region
    WHERE  posting_date = {as_of_date}
),
trailing_avg AS (
    SELECT region_ship_to,
           AVG(net_sales) AS avg_7day
    FROM   daily_by_region
    WHERE  posting_date &lt; {as_of_date}
    GROUP BY region_ship_to
),
ranked AS (
    SELECT t.region_ship_to,
           ROUND(t.today_sales, 0)                                                   AS today_sales_eur,
           ROUND(a.avg_7day, 0)                                                      AS avg_7day_eur,
           ROUND(t.today_sales - a.avg_7day, 0)                                      AS deviation_eur,
           ROUND(100.0 * (t.today_sales - a.avg_7day) / NULLIF(a.avg_7day, 0), 1)   AS deviation_pct,
           ROW_NUMBER() OVER (ORDER BY (t.today_sales - a.avg_7day) DESC)            AS rank_pos,
           ROW_NUMBER() OVER (ORDER BY (t.today_sales - a.avg_7day) ASC)             AS rank_neg
    FROM   today t
    JOIN   trailing_avg a ON t.region_ship_to = a.region_ship_to
    WHERE  a.avg_7day != 0
)
SELECT region_ship_to,
       today_sales_eur,
       avg_7day_eur,
       deviation_eur,
       deviation_pct,
       CASE WHEN rank_pos &lt;= 2 THEN 'TOP 2 POSITIVE'
            WHEN rank_neg &lt;= 2 THEN 'TOP 2 NEGATIVE'
       END AS surprise_bucket
FROM   ranked
WHERE  rank_pos &lt;= 2 OR rank_neg &lt;= 2
ORDER BY deviation_eur DESC;</t>
  </si>
  <si>
    <t xml:space="preserve">
Single deviation-bar chart (not a two-bar-per-region layout): one bar per region (4 regions after excluding 'Not assigned'), bar height = € deviation from 7-day average, extending up (green) for positive surprises and down (red) for negative ones. X-axis: region name. Y-axis: € deviation.
</t>
  </si>
  <si>
    <t>PENDING</t>
  </si>
  <si>
    <t xml:space="preserve">sql filter is based on {as_of_date}. This needs to be filled in as per real data.
RUN PARAMETERS: as_of_date = 2026-08-13 (last complete day in COPA; the raw latest date, 2026-08-14, was excluded as a partial extract day -- only ~2,935 rows vs. a normal 4,000-4,800). Trailing window = 2026-08-06 to 2026-08-12 (7 days before as_of_date). </t>
  </si>
  <si>
    <t>DN-02</t>
  </si>
  <si>
    <r>
      <rPr>
        <sz val="9"/>
        <color rgb="FFFF0000"/>
        <rFont val="Arial"/>
      </rPr>
      <t xml:space="preserve">
</t>
    </r>
    <r>
      <rPr>
        <sz val="9"/>
        <color rgb="FF000000"/>
        <rFont val="Arial"/>
      </rPr>
      <t xml:space="preserve">
Customer Margin Erosion (QTD)</t>
    </r>
  </si>
  <si>
    <r>
      <rPr>
        <sz val="9"/>
        <color rgb="FFFF0000"/>
        <rFont val="Arial"/>
      </rPr>
      <t xml:space="preserve">
</t>
    </r>
    <r>
      <rPr>
        <sz val="9"/>
        <color rgb="FF000000"/>
        <rFont val="Arial"/>
      </rPr>
      <t xml:space="preserve">
The 5 customers whose overall margin % (Consolidated Marginal Income I / Net Sales) has fallen the most vs. the same quarter-to-date period last year.</t>
    </r>
  </si>
  <si>
    <r>
      <rPr>
        <sz val="9"/>
        <color rgb="FFFF0000"/>
        <rFont val="Arial"/>
      </rPr>
      <t xml:space="preserve">
</t>
    </r>
    <r>
      <rPr>
        <sz val="9"/>
        <color rgb="FF000000"/>
        <rFont val="Arial"/>
      </rPr>
      <t xml:space="preserve">
Flags customers whose overall profitability is quietly eroding, well before it would show up in a quarterly margin review.</t>
    </r>
  </si>
  <si>
    <t>cosmos</t>
  </si>
  <si>
    <t>[Customer A]'s margin down [X]pp YoY (QTD); [Customer B] down [Y]pp.</t>
  </si>
  <si>
    <t>Sentence 1: "Over this quarter to date, [Customer A]'s margin fell to [X]% from [X_PY]% a year ago (-[Delta]pp)."
Sentence 2 (summary): "Top 5 customers by margin erosion: [list]."</t>
  </si>
  <si>
    <t>1) Filter to core business only: core_business_indicator IN ('C','P','T').
2) This-QTD margin % per Sold-to: SUM(Consolidated Marginal Income I) / SUM(Net Sales), calendar_day between qtd_start and as_of_date.
3) Same computation, same QTD window, prior year (calendar_day shifted back exactly 1 year).
4) Deviation pp = this-year margin % - prior-year margin %.
5) Keep only rows where deviation pp &lt; 0 (margin decreased).
6) Materiality floor: Net Sales &gt; €2,000,000 in BOTH periods, to avoid noise from small accounts.
7) Rank ascending (biggest decrease first); report top 5.</t>
  </si>
  <si>
    <t>TBD — cannot be derived from the sample data provided. Sample KPI values are randomly obfuscated per row (per the merge log).</t>
  </si>
  <si>
    <t>WITH curr AS (
  SELECT sold_to, SUM(KPI_COSMOS__CONSOLIDATED_MARGIN_I) AS cmi_sum, SUM(KPI_COSMOS__NET_SALES) AS ns_sum
  FROM cosmos
  WHERE core_business_indicator IN ('C','P','T')
    AND calendar_day BETWEEN {qtd_start} AND {as_of_date}
  GROUP BY sold_to
),
prior AS (
  SELECT sold_to, SUM(KPI_COSMOS__CONSOLIDATED_MARGIN_I) AS cmi_sum, SUM(KPI_COSMOS__NET_SALES) AS ns_sum
  FROM cosmos
  WHERE core_business_indicator IN ('C','P','T')
    AND calendar_day BETWEEN {qtd_start} - INTERVAL '1 year' AND {as_of_date} - INTERVAL '1 year'
  GROUP BY sold_to
)
SELECT c.sold_to,
       ROUND(100.0*c.cmi_sum/NULLIF(c.ns_sum,0), 1) AS curr_margin_pct,
       ROUND(100.0*p.cmi_sum/NULLIF(p.ns_sum,0), 1) AS prior_margin_pct,
       ROUND(100.0*c.cmi_sum/NULLIF(c.ns_sum,0) - 100.0*p.cmi_sum/NULLIF(p.ns_sum,0), 1) AS deviation_pp
FROM curr c JOIN prior p ON c.sold_to = p.sold_to
WHERE c.ns_sum &gt; 2000000 AND p.ns_sum &gt; 2000000
  AND (100.0*c.cmi_sum/NULLIF(c.ns_sum,0)) &lt; (100.0*p.cmi_sum/NULLIF(p.ns_sum,0))
ORDER BY deviation_pp ASC
LIMIT 5;</t>
  </si>
  <si>
    <r>
      <rPr>
        <sz val="9"/>
        <color rgb="FFFF0000"/>
        <rFont val="Arial"/>
      </rPr>
      <t xml:space="preserve">
</t>
    </r>
    <r>
      <rPr>
        <sz val="9"/>
        <color rgb="FF000000"/>
        <rFont val="Arial"/>
      </rPr>
      <t>One chart for all 5 customers -  single grouped bar chart, one group per customer (5 groups on the X-axis), two bars per group -- prior-year margin % and this-QTD margin % side by side.</t>
    </r>
  </si>
  <si>
    <t xml:space="preserve">PENDING </t>
  </si>
  <si>
    <r>
      <rPr>
        <sz val="9"/>
        <color rgb="FFFF0000"/>
        <rFont val="Arial"/>
      </rPr>
      <t xml:space="preserve">
</t>
    </r>
    <r>
      <rPr>
        <sz val="9"/>
        <color rgb="FF000000"/>
        <rFont val="Arial"/>
      </rPr>
      <t xml:space="preserve">
RUN PARAMETERS: qtd_start = 2026-07-01, as_of_date = 2026-07-31 (Q3 2026 QTD = July only; COSMOS's raw latest date, 2026-08-03, has just 1 row and is unusable). Prior-year window: 2025-07-01 to 2025-07-31. Materiality floor €2,000,000 net sales in both periods. </t>
    </r>
  </si>
  <si>
    <t>DN-03</t>
  </si>
  <si>
    <t>Order Volume Pacing vs Previous Year</t>
  </si>
  <si>
    <t>Gives an early, sub-quarterly read on which business lines are outpacing or lagging their own prior-year trajectory -- including how broad-based growth or softness is across the portfolio, which a fixed 2-positive/1-negative split would obscure.</t>
  </si>
  <si>
    <t>sales</t>
  </si>
  <si>
    <t>[BE A] volume [+/-][X]% QTD vs PY; [BE B] [+/-][Y]%.</t>
  </si>
  <si>
    <t>Sentence 1: "QTD order volume: [BE A] is running [+/-][X]% vs prior year ([X_kg]kg vs [PY_kg]kg)."
Sentence 2 (summary): "Top movers by volume: [growth group]; [decline group]."</t>
  </si>
  <si>
    <t>1) Filter to core business only: core_business_indicator IN ('C','P','T') 
2) QTD delivered volume by SBE: SUM(delivery_quantity_kg), act_gi_day BETWEEN qtd_start AND as_of_date, GROUP BY sbe.
3) Same window, prior year (shifted back exactly 1 year).
4) Deviation kg = actual - prior year; Deviation % = Deviation kg / prior year x 100.
5) Exclude residual 'Difference' SBE codes (99/AB_Difference, 99/OT_Difference -- reconciliation placeholders, not real business lines) and apply a materiality floor (&gt;50,000 kg in both periods).
6) Rank positive movers and negative movers separately; take up to top 3 of each side (fewer if fewer qualify), so the item is never lopsided when reality is more (or less) balanced.</t>
  </si>
  <si>
    <t>WITH curr AS (
    SELECT sbe, sbe2,
           SUM(KPI_SALES__DELIVERY_QUANTITY_KG) AS qtd_volume
    FROM   sales
    WHERE  core_business_indicator IN ('C','P','T')
      AND  ACT__GI_DAY BETWEEN {qtd_start} AND {as_of_date}
    GROUP BY sbe, sbe2
),
prior AS (
    SELECT sbe, sbe2
           SUM(KPI_SALES__DELIVERY_QUANTITY_KG) AS qtd_volume_py
    FROM   sales
    WHERE  core_business_indicator IN ('C','P','T')
      AND  ACT__GI_DAY BETWEEN {qtd_start} - INTERVAL '1 year'
                         AND {as_of_date} - INTERVAL '1 year'
    GROUP BY sbe, sbe2
),
all_sbes AS (
    SELECT c.sbe, c.sbe2,
           ROUND(c.qtd_volume, 0)                                                          AS qtd_volume,
           ROUND(p.qtd_volume_py, 0)                                                       AS qtd_volume_py,
           ROUND(c.qtd_volume - p.qtd_volume_py, 0)                                        AS deviation_kg,
           ROUND(100.0 * (c.qtd_volume - p.qtd_volume_py) / NULLIF(p.qtd_volume_py, 0), 1) AS deviation_pct
    FROM   curr c
    JOIN   prior p ON c.sbe = p.sbe
    WHERE  c.qtd_volume &gt; 50000 AND p.qtd_volume_py &gt; 50000
),
ranked AS (
    SELECT *,
           CASE WHEN deviation_kg &gt;= 0
                THEN ROW_NUMBER() OVER (PARTITION BY (deviation_kg &gt;= 0) ORDER BY deviation_pct DESC)
           END AS rank_pos,
           CASE WHEN deviation_kg &lt; 0
                THEN ROW_NUMBER() OVER (PARTITION BY (deviation_kg &lt; 0)  ORDER BY deviation_pct ASC)
           END AS rank_neg
    FROM   all_sbes
)
SELECT sbe, sbe2, qtd_volume, qtd_volume_py, deviation_kg, deviation_pct,
       CASE WHEN rank_pos IS NOT NULL AND rank_pos &lt;= 3 THEN 'TOP 3 POSITIVE'
            WHEN rank_neg IS NOT NULL AND rank_neg &lt;= 3 THEN 'TOP 3 NEGATIVE'
       END AS pacing_bucket
FROM   ranked
WHERE  (rank_pos IS NOT NULL AND rank_pos &lt;= 3)
   OR  (rank_neg IS NOT NULL AND rank_neg &lt;= 3)
ORDER BY deviation_pct DESC;</t>
  </si>
  <si>
    <t xml:space="preserve">
Single diverging bar chart - one bar per SBE, value = deviation %, positive bars green (above zero), negative bars red (below zero), sorted by deviation %. Show up to 3 per side, adaptively -- fewer if fewer qualify. This run: 3 positive + 3 negative = 6 bars total.</t>
  </si>
  <si>
    <t>sql filter is based on {as_of_date}. This needs to be filled in as per real data.
RUN PARAMETERS: qtd_start = 2026-07-01, as_of_date = 2026-08-14 (last complete weekday in Sales; the raw latest date, 2026-08-17, was a partial extract day -- only 798 rows vs. a normal weekday's ~2,000-2,500). Prior-year window: 2025-07-01 to 2025-08-14. Materiality floor &gt;50,000 kg excludes the two residual 'Difference' SBE codes</t>
  </si>
  <si>
    <t>DN-04</t>
  </si>
  <si>
    <t>Customer Payment Term Overshoot &amp; Overdue Products</t>
  </si>
  <si>
    <t xml:space="preserve">The 5 customers whose actual payment term (WAT) this month exceeds their own target by the most, each paired with the product(s) driving their currently-overdue open invoices, if any. </t>
  </si>
  <si>
    <t>Connects a portfolio-level lagging indicator (average days-to-pay) to the specific overdue invoices and products behind it, giving collections teams a ready-made starting point instead of a generic days-late number.</t>
  </si>
  <si>
    <t>ar_pm, ar_keydate</t>
  </si>
  <si>
    <t>[Customer A] paying +[X] days above target WAT; top overdue product: [Product] (€[Y]).</t>
  </si>
  <si>
    <t>Sentence 1: "This month, [Customer A]'s actual payment term (WAT) is [X] days vs. a target of [T] days (+[Delta] days above target), with €[Overdue] currently overdue -- led by product [Product] (€[ProdAmt])."
Sentence 2 (summary): "Top 5 customers by WAT overshoot: [list, each with its overdue amount]."</t>
  </si>
  <si>
    <t>LEVEL 1 — Customer Ranking (AR-PM, flow data for a complete month)
━━━━━━━━━━━━━━━━━━━━━━━━━━━━━━━━━━━━━━━━━━━━━━━━━━━━━━━━━━━━━━━
1. Determine "current month": last month with AR-PM row count &gt;= 50% 
   of trailing 3-month average.
2. Actual WAT per Sold-to = SUM(EDO × Amount) / SUM(Amount)
3. Target WAT per Sold-to = SUM(Weighted_Target_Day) / SUM(Amount)
4. Deviation = Actual WAT - Target WAT (positive = paying slower)
5. Materiality: Amount &gt; €200,000 AND Counter &gt;= 3
6. No core_business_indicator filter.
7. Rank by deviation DESC, take top 5.
LEVEL 2 — Product Drill-Down (AR-KeyDate, snapshot at month-end)
━━━━━━━━━━━━━━━━━━━━━━━━━━━━━━━━━━━━━━━━━━━━━━━━━━━━━━━━━━━━━━━
8. Use AR-KeyDate snapshot on the LAST DAY of the Level 1 month 
   (e.g., if Level 1 = June, snapshot = 30.06.2026).
9. Filter to the 5 customers from Level 1.
10. For each customer, GROUP BY material/material2:
    - total_open_eur = SUM(Amount) for all open items
    - overdue_eur = SUM(Amount) WHERE net_due_date &lt; posting_date 
      AND Amount &gt; 0
    - not_yet_due_eur = total_open - overdue
11. Report all products with open receivables, flag overdue ones.</t>
  </si>
  <si>
    <t>-- LEVEL 1: Top 5 customers with highest payment term overshoot
-- (AR-PM, current month determined by clearing coverage)
WITH customer_wat AS (
    SELECT  sold_to, sold_to2,
            ROUND(SUM(KPI_AR_PM__EDO__EFFECTIVE_DAYS_OUTSTANDING* KPI_AR_PM__AMOUNT_EUR)
                / NULLIF(SUM(KPI_AR_PM__AMOUNT_EUR), 0), 1)           AS actual_wat,
            ROUND(SUM(KPI_AR_PM__WEIGHTED_TARGET_DAYS)
                / NULLIF(SUM(KPI_AR_PM__AMOUNT_EUR), 0), 1)           AS target_wat,
            ROUND(SUM(KPI_AR_PM__AMOUNT_EUR), 0)                       AS total_cleared_eur,
            ROUND(SUM(KPI_AR_PM__COUNTER), 0)                          AS invoice_count
    FROM    ar_pm
    WHERE   posting_date BETWEEN {month_start} AND {month_end}
    GROUP BY sold_to, sold_to2
    HAVING  SUM(KPI_AR_PM__AMOUNT_EUR) &gt; 200000
      AND   SUM(KPI_AR_PM__COUNTER) &gt;= 3
)
SELECT  sold_to, sold_to2,
        actual_wat,
        target_wat,
        ROUND(actual_wat - target_wat, 1)   AS deviation_days,
        total_cleared_eur,
        invoice_count
FROM    customer_wat
ORDER BY deviation_days DESC
LIMIT 5;
-- LEVEL 2: Product drill-down — open receivables &amp; overdue
-- (AR-KeyDate snapshot on last day of Level 1 month)
SELECT  kd.sold_to,
        kd.sold_to2     AS customer_name,
        kd.material,
        kd.material2    AS product_name,
        COUNT(*)            AS open_item_count,
        ROUND(SUM(kd.KPI_AR_KEYDATE__AMOUNT_IN_EUR), 0)                                       AS total_open_eur,
        ROUND(SUM(CASE WHEN kd.net_due_date &lt; kd.posting_date
                        AND kd.amount_in_eur &gt; 0
                       THEN kd.KPI_AR_KEYDATE__AMOUNT_IN_EUR ELSE 0 END), 0)                  AS overdue_eur,
        ROUND(SUM(CASE WHEN kd.net_due_date &gt;= kd.posting_date
                       THEN kd.KPI_AR_KEYDATE__AMOUNT_IN_EUR ELSE 0 END), 0)                  AS not_yet_due_eur
FROM    ar_keydate kd
WHERE   kd.posting_date = {snapshot_date}
  AND   kd.sold_to IN ({level_1_top_5_sold_to_ids})
GROUP BY kd.sold_to, kd.sold_to2, kd.material, kd.material2
HAVING  SUM(kd.KPI_AR_KEYDATE__AMOUNT_IN_EUR) &gt; 0
ORDER BY kd.sold_to_name, total_open_eur DESC;</t>
  </si>
  <si>
    <t>Single bar chart: 5 bars, one per customer, height = WAT overshoot in days, sorted descending. Each bar annotated (data label or tooltip) with its top overdue product and € amount -- e.g. 'M.1260C -- €133K'. For the one customer with no overdue open items, the label reads 'no overdue invoices' rather than a product name.</t>
  </si>
  <si>
    <t>RUN PARAMETERS: month_start = 2026-06-01, month_end = 2026-06-30 for the AR-PM WAT calculation (Level 1). July 2026, although AR-PM's raw latest month, was deliberately NOT used: July has only 7,717 rows vs. June's 24,136 -- AR-PM only contains cleared invoices, so the most recent month is always a partial, early-clearing-biased sample that would skew the ranking toward customers who happen to pay fast. as_of_date = 2026-06-30 for the Level 2 overdue drill-down (AR-KeyDate open-item proxy)</t>
  </si>
  <si>
    <t>🟡 Yellow rows = example Daily News items. ground_truth must be verified against your data. status: PASS = tested and correct | FAIL = SQL or logic needs fixing | PENDING = not yet tested.</t>
  </si>
  <si>
    <t>FISCAL &amp; ROUNDING RULES</t>
  </si>
  <si>
    <t>Client-specific configuration the AI uses for time period logic, number formatting, and rounding. Must be completed before testing — incorrect fiscal config causes wrong period filters.</t>
  </si>
  <si>
    <t>ℹ  Instructions: Fill in every row with your client's actual values. The AI reads this sheet to resolve 'current month', 'YTD', 'fiscal quarter' and format all numbers in responses consistently.</t>
  </si>
  <si>
    <t>Configuration Item</t>
  </si>
  <si>
    <t>Value</t>
  </si>
  <si>
    <t>FISCAL CALENDAR</t>
  </si>
  <si>
    <t>January</t>
  </si>
  <si>
    <t xml:space="preserve">  ← Enter the calendar month the fiscal year begins (e.g. January, April, October)</t>
  </si>
  <si>
    <t>Fiscal Year Label Convention</t>
  </si>
  <si>
    <t>YYYY (e.g. 2026)</t>
  </si>
  <si>
    <t xml:space="preserve">  ← How the fiscal year is labelled — same as calendar year, or offset? (e.g. FY2024, 2024, FY24)</t>
  </si>
  <si>
    <t>Fiscal Quarter Q1 Months</t>
  </si>
  <si>
    <t>January, February, March</t>
  </si>
  <si>
    <t xml:space="preserve">  ← List the 3 calendar months in fiscal Q1</t>
  </si>
  <si>
    <t>Fiscal Quarter Q2 Months</t>
  </si>
  <si>
    <t>April, May, June</t>
  </si>
  <si>
    <t xml:space="preserve">  ← List the 3 calendar months in fiscal Q2</t>
  </si>
  <si>
    <t>Fiscal Quarter Q3 Months</t>
  </si>
  <si>
    <t>July, August, September</t>
  </si>
  <si>
    <t xml:space="preserve">  ← List the 3 calendar months in fiscal Q3</t>
  </si>
  <si>
    <t>Fiscal Quarter Q4 Months</t>
  </si>
  <si>
    <t>October, November, December</t>
  </si>
  <si>
    <t xml:space="preserve">  ← List the 3 calendar months in fiscal Q4</t>
  </si>
  <si>
    <t>Number of Fiscal Periods per Year</t>
  </si>
  <si>
    <t>12 (monthly)</t>
  </si>
  <si>
    <t xml:space="preserve">  ← 12 for monthly, 13 for 4-4-5 or 13-period calendars</t>
  </si>
  <si>
    <t>Current Fiscal Year</t>
  </si>
  <si>
    <t xml:space="preserve">  ← The fiscal year to use as default when user does not specify a year</t>
  </si>
  <si>
    <t>Current Fiscal Month (number)</t>
  </si>
  <si>
    <t xml:space="preserve">  ← The fiscal month to use as default for MTD queries (1=first month of fiscal year)</t>
  </si>
  <si>
    <t>CURRENCY &amp; REPORTING</t>
  </si>
  <si>
    <t>Primary Reporting Currency</t>
  </si>
  <si>
    <t xml:space="preserve">  ← The default currency for all AI responses and metric calculations</t>
  </si>
  <si>
    <t>Currency Symbol</t>
  </si>
  <si>
    <t>€</t>
  </si>
  <si>
    <t xml:space="preserve">  ← Symbol prepended to monetary values in responses</t>
  </si>
  <si>
    <t>Currency Display Scale</t>
  </si>
  <si>
    <t>k€, m€, bn€</t>
  </si>
  <si>
    <t xml:space="preserve">  ← How amounts are displayed: Thousands ($K), Millions ($M), or Billions ($B)</t>
  </si>
  <si>
    <t>Multi-Currency Support</t>
  </si>
  <si>
    <t>no</t>
  </si>
  <si>
    <t xml:space="preserve">  ← List any secondary currencies present in the data</t>
  </si>
  <si>
    <t>NUMBER FORMATTING &amp; ROUNDING</t>
  </si>
  <si>
    <t>Revenue Rounding</t>
  </si>
  <si>
    <t xml:space="preserve">Overall 3 digits e.g. €412m or €41.2m --&gt; 3 digits </t>
  </si>
  <si>
    <t xml:space="preserve">  ← How revenue figures are rounded and displayed</t>
  </si>
  <si>
    <t>Percentage Rounding</t>
  </si>
  <si>
    <t>Overall 3 digits e.g. 42.3%  --&gt; 3 digits</t>
  </si>
  <si>
    <t xml:space="preserve">  ← How percentages are displayed</t>
  </si>
  <si>
    <t>DSO / Days Rounding</t>
  </si>
  <si>
    <t>Overall 3 digits e.g. 48.1 days  --&gt; 3 digits</t>
  </si>
  <si>
    <t xml:space="preserve">  ← How day-based metrics are rounded</t>
  </si>
  <si>
    <t>Deal Value Rounding</t>
  </si>
  <si>
    <t>-</t>
  </si>
  <si>
    <t xml:space="preserve">  ← How individual deal values are displayed</t>
  </si>
  <si>
    <t>Volume / Quantity Rounding</t>
  </si>
  <si>
    <t>Overall 3 digits e.g. 1.12kg  --&gt; 3 digits</t>
  </si>
  <si>
    <t xml:space="preserve">  ← How count/volume metrics are rounded</t>
  </si>
  <si>
    <t>Variance Display Convention</t>
  </si>
  <si>
    <t>see KPI cards</t>
  </si>
  <si>
    <t xml:space="preserve">  ← E.g. revenue variance: +$3.4M = favorable. DSO variance: +5 days = unfavorable (label accordingly).</t>
  </si>
  <si>
    <t>SPECIAL BUSINESS RULES</t>
  </si>
  <si>
    <t>Budget Version Used</t>
  </si>
  <si>
    <t>no budget</t>
  </si>
  <si>
    <t xml:space="preserve">  ← Which budget version to use: Original Budget, Revised Budget, Latest Forecast, etc.</t>
  </si>
  <si>
    <t>Forecast / Flash Version</t>
  </si>
  <si>
    <t>no forecast</t>
  </si>
  <si>
    <t xml:space="preserve">  ← Which forecast version is the current flash/forecast baseline</t>
  </si>
  <si>
    <t>'Favorable' Revenue Direction</t>
  </si>
  <si>
    <t>current month higher than previous period</t>
  </si>
  <si>
    <t xml:space="preserve">  ← Define what favorable means for primary revenue metrics</t>
  </si>
  <si>
    <t>DSO Target</t>
  </si>
  <si>
    <t>no DSO</t>
  </si>
  <si>
    <t xml:space="preserve">  ← Target DSO for badge coloring and footnote display</t>
  </si>
  <si>
    <t>Win Rate Target</t>
  </si>
  <si>
    <t>no win rate</t>
  </si>
  <si>
    <t xml:space="preserve">  ← Target win rate for badge coloring and footnote display</t>
  </si>
  <si>
    <t>Overdue AR Target</t>
  </si>
  <si>
    <t>no target</t>
  </si>
  <si>
    <t xml:space="preserve">  ← Threshold above which overdue % is flagged as elevated</t>
  </si>
  <si>
    <t>REQUIREMENTS &amp; NOTES</t>
  </si>
  <si>
    <t>Free-form section for master prompt context, open questions, known data issues, and client-specific instructions that don't fit elsewhere. The AI may reference these when generating responses.</t>
  </si>
  <si>
    <t>ℹ  Instructions: Use this sheet to capture anything not covered by the structured sheets. Sections below are suggested — add or remove rows freely. Master Prompt Context is particularly important: it tells the AI who it is, what it knows, and how to behave.</t>
  </si>
  <si>
    <t>Category</t>
  </si>
  <si>
    <t>Content / Notes</t>
  </si>
  <si>
    <t>MASTER PROMPT CONTEXT (System Instructions for AI)</t>
  </si>
  <si>
    <t>Role &amp; Identity</t>
  </si>
  <si>
    <t>You are a digital FP&amp;A co-worker supporting financial and sales performance analysis. Your role is to structure data, quantify drivers, and highlight patterns to assist human decision-making. You do not make business decisions — you surface the data to support them - from a financial and business driven / key account management perspective.</t>
  </si>
  <si>
    <t>Data Scope</t>
  </si>
  <si>
    <t>You have access to sales data, volume data, AR, working capital data like WAT and OTIF for FY2025 and FY2026 (HY1). Data covers four regions: [CLIENT TO FILL: e.g. North America, Europe/Middle East/Africa, Asia Pacific, Latin America]. The reporting currency is EUR. All monetary amounts are in EUR unless otherwise specified.</t>
  </si>
  <si>
    <t>Tone &amp; Format</t>
  </si>
  <si>
    <t>Responses should be concise, numeric, and executive-ready. Always lead with the headline number. Use bullet points for drivers. Flag if data is unavailable rather than guessing. Positive revenue variance = Favorable. Negative = Unfavorable. Label explicitly.</t>
  </si>
  <si>
    <t>Hard Constraints</t>
  </si>
  <si>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
5. If question is unclear or metric /dimension selection is not clear, say so or provide proposals for multiple dimensions / metrics</t>
  </si>
  <si>
    <t>KNOWN DATA ISSUES &amp; LIMITATIONS</t>
  </si>
  <si>
    <t>Issue: Budget Data</t>
  </si>
  <si>
    <t>Issue: DSO Calculation</t>
  </si>
  <si>
    <t>[CLIENT TO COMPLETE]</t>
  </si>
  <si>
    <t>Add any known data quality issues, NULL columns, missing periods, or fields that behave unexpectedly in this client's data.</t>
  </si>
  <si>
    <t>OPEN QUESTIONS (To Be Resolved with Client)</t>
  </si>
  <si>
    <t>Q1: Fiscal Calendar</t>
  </si>
  <si>
    <t>Confirm: Does the client's fiscal year align with the calendar year, or does it start in a different month? This affects all YTD, QTD and fiscal_year filters in every query.
Aligned with calendar year</t>
  </si>
  <si>
    <t>Q2: Budget Version</t>
  </si>
  <si>
    <t>Which budget version should be used as the default baseline? Options: Original Annual Budget, Latest Revised Budget, Rolling Forecast. Confirm column name in the database if different from budget_net_revenue_reporting_amount.
No budget</t>
  </si>
  <si>
    <t>Q3: Multi-Currency</t>
  </si>
  <si>
    <t>Should responses always show USD (reporting currency), or should some metrics show local currency? If local currency is needed, which tables and columns contain the local amounts?
EUR only</t>
  </si>
  <si>
    <t>Q4: Data Refresh Frequency</t>
  </si>
  <si>
    <t>How often is the database refreshed? Daily, weekly, monthly? This affects how 'current' / 'real-time' questions should be answered.
"Fake" data refresh should be enabled, ideally twice</t>
  </si>
  <si>
    <t>ROUNDING &amp; SIGN CONVENTIONS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</si>
</sst>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3"/>
      <color rgb="FFFFFFFF"/>
      <name val="Arial"/>
      <family val="2"/>
    </font>
    <font>
      <i/>
      <sz val="9"/>
      <color rgb="FFFFFFFF"/>
      <name val="Arial"/>
      <family val="2"/>
    </font>
    <font>
      <i/>
      <sz val="9"/>
      <color rgb="FFC55A11"/>
      <name val="Arial"/>
      <family val="2"/>
    </font>
    <font>
      <b/>
      <sz val="10"/>
      <color rgb="FFFFFFFF"/>
      <name val="Arial"/>
      <family val="2"/>
    </font>
    <font>
      <sz val="9"/>
      <color rgb="FF000000"/>
      <name val="Arial"/>
      <family val="2"/>
    </font>
    <font>
      <b/>
      <sz val="9"/>
      <color rgb="FF1F3864"/>
      <name val="Arial"/>
      <family val="2"/>
    </font>
    <font>
      <b/>
      <sz val="9"/>
      <color rgb="FF000000"/>
      <name val="Arial"/>
      <family val="2"/>
    </font>
    <font>
      <i/>
      <sz val="9"/>
      <color rgb="FF595959"/>
      <name val="Arial"/>
      <family val="2"/>
    </font>
    <font>
      <sz val="9"/>
      <name val="Arial"/>
      <family val="2"/>
    </font>
    <font>
      <b/>
      <sz val="14"/>
      <color rgb="FFFFFFFF"/>
      <name val="Arial"/>
      <family val="2"/>
    </font>
    <font>
      <b/>
      <sz val="9"/>
      <color rgb="FFFFFFFF"/>
      <name val="Arial"/>
      <family val="2"/>
    </font>
    <font>
      <b/>
      <sz val="9"/>
      <name val="Arial"/>
      <family val="2"/>
    </font>
    <font>
      <b/>
      <sz val="9"/>
      <color rgb="FF595959"/>
      <name val="Arial"/>
      <family val="2"/>
    </font>
    <font>
      <sz val="11"/>
      <color rgb="FF000000"/>
      <name val="Arial"/>
      <family val="2"/>
    </font>
    <font>
      <sz val="10"/>
      <color theme="1"/>
      <name val="Arial"/>
      <family val="2"/>
    </font>
    <font>
      <sz val="11"/>
      <name val="Calibri"/>
      <family val="2"/>
      <scheme val="minor"/>
    </font>
    <font>
      <sz val="9"/>
      <color theme="1"/>
      <name val="Arial"/>
      <family val="2"/>
    </font>
    <font>
      <sz val="11"/>
      <color rgb="FF000000"/>
      <name val="Calibri"/>
      <family val="2"/>
      <scheme val="minor"/>
    </font>
    <font>
      <sz val="9"/>
      <color rgb="FF000000"/>
      <name val="Arial"/>
    </font>
    <font>
      <strike/>
      <sz val="9"/>
      <color rgb="FFFF0000"/>
      <name val="Arial"/>
      <family val="2"/>
    </font>
    <font>
      <strike/>
      <sz val="9"/>
      <color rgb="FF000000"/>
      <name val="Arial"/>
    </font>
    <font>
      <strike/>
      <sz val="9"/>
      <color rgb="FF000000"/>
      <name val="Arial"/>
      <family val="2"/>
    </font>
    <font>
      <strike/>
      <sz val="11"/>
      <color theme="1"/>
      <name val="Calibri"/>
      <family val="2"/>
      <scheme val="minor"/>
    </font>
    <font>
      <strike/>
      <sz val="11"/>
      <color rgb="FFFF0000"/>
      <name val="Calibri"/>
      <family val="2"/>
      <scheme val="minor"/>
    </font>
    <font>
      <sz val="9"/>
      <color rgb="FFFF0000"/>
      <name val="Arial"/>
    </font>
    <font>
      <sz val="9"/>
      <name val="Arial"/>
    </font>
    <font>
      <sz val="9"/>
      <color rgb="FFFF0000"/>
      <name val="Arial"/>
      <family val="2"/>
    </font>
    <font>
      <sz val="11"/>
      <color rgb="FFFF0000"/>
      <name val="Calibri"/>
      <family val="2"/>
      <scheme val="minor"/>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
      <patternFill patternType="solid">
        <fgColor rgb="FFFFF2CC"/>
        <bgColor indexed="64"/>
      </patternFill>
    </fill>
    <fill>
      <patternFill patternType="solid">
        <fgColor rgb="FF1F3864"/>
        <bgColor rgb="FF000000"/>
      </patternFill>
    </fill>
    <fill>
      <patternFill patternType="solid">
        <fgColor rgb="FF2E75B6"/>
        <bgColor rgb="FF000000"/>
      </patternFill>
    </fill>
    <fill>
      <patternFill patternType="solid">
        <fgColor rgb="FFFFF2CC"/>
        <bgColor rgb="FF000000"/>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style="thin">
        <color indexed="64"/>
      </right>
      <top style="thin">
        <color indexed="64"/>
      </top>
      <bottom/>
      <diagonal/>
    </border>
    <border>
      <left style="thin">
        <color rgb="FFBFBFBF"/>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right/>
      <top/>
      <bottom style="thin">
        <color rgb="FFBFBFBF"/>
      </bottom>
      <diagonal/>
    </border>
  </borders>
  <cellStyleXfs count="2">
    <xf numFmtId="0" fontId="0" fillId="0" borderId="0"/>
    <xf numFmtId="0" fontId="15" fillId="0" borderId="0"/>
  </cellStyleXfs>
  <cellXfs count="96">
    <xf numFmtId="0" fontId="0" fillId="0" borderId="0" xfId="0"/>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0" fillId="8" borderId="1" xfId="0" applyFill="1" applyBorder="1"/>
    <xf numFmtId="0" fontId="6" fillId="6" borderId="1"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3" fillId="4" borderId="0" xfId="0" applyFont="1" applyFill="1" applyAlignment="1">
      <alignment horizontal="left" vertical="top"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4" borderId="9" xfId="0" applyFont="1" applyFill="1" applyBorder="1" applyAlignment="1">
      <alignment horizontal="left" vertical="top" wrapText="1"/>
    </xf>
    <xf numFmtId="0" fontId="4" fillId="2" borderId="10" xfId="0" applyFont="1" applyFill="1" applyBorder="1" applyAlignment="1">
      <alignment horizontal="center" vertical="center" wrapText="1"/>
    </xf>
    <xf numFmtId="0" fontId="5" fillId="4" borderId="11"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5" xfId="0" applyFont="1" applyFill="1" applyBorder="1" applyAlignment="1">
      <alignment horizontal="left" vertical="top" wrapText="1"/>
    </xf>
    <xf numFmtId="0" fontId="17" fillId="4" borderId="1" xfId="0" applyFont="1" applyFill="1" applyBorder="1" applyAlignment="1">
      <alignment horizontal="left" vertical="top" wrapText="1"/>
    </xf>
    <xf numFmtId="0" fontId="5" fillId="10" borderId="14" xfId="0" applyFont="1" applyFill="1" applyBorder="1" applyAlignment="1">
      <alignment horizontal="left" vertical="top" wrapText="1"/>
    </xf>
    <xf numFmtId="0" fontId="5" fillId="10" borderId="12" xfId="0" applyFont="1" applyFill="1" applyBorder="1" applyAlignment="1">
      <alignment horizontal="left" vertical="top" wrapText="1"/>
    </xf>
    <xf numFmtId="0" fontId="5" fillId="10" borderId="13" xfId="0" applyFont="1" applyFill="1" applyBorder="1" applyAlignment="1">
      <alignment horizontal="left" vertical="top" wrapText="1"/>
    </xf>
    <xf numFmtId="0" fontId="3" fillId="13" borderId="0" xfId="0" applyFont="1" applyFill="1" applyAlignment="1">
      <alignment horizontal="left" vertical="top" wrapText="1"/>
    </xf>
    <xf numFmtId="0" fontId="4" fillId="11" borderId="1" xfId="0" applyFont="1" applyFill="1" applyBorder="1" applyAlignment="1">
      <alignment horizontal="center" vertical="center" wrapText="1"/>
    </xf>
    <xf numFmtId="0" fontId="5" fillId="13" borderId="14" xfId="0" applyFont="1" applyFill="1" applyBorder="1" applyAlignment="1">
      <alignment horizontal="left" vertical="top" wrapText="1"/>
    </xf>
    <xf numFmtId="0" fontId="5" fillId="13" borderId="10" xfId="0" applyFont="1" applyFill="1" applyBorder="1" applyAlignment="1">
      <alignment horizontal="left" vertical="top" wrapText="1"/>
    </xf>
    <xf numFmtId="0" fontId="5" fillId="13" borderId="7" xfId="0" applyFont="1" applyFill="1" applyBorder="1" applyAlignment="1">
      <alignment horizontal="left" vertical="top" wrapText="1"/>
    </xf>
    <xf numFmtId="0" fontId="5" fillId="13" borderId="1" xfId="0" applyFont="1" applyFill="1" applyBorder="1" applyAlignment="1">
      <alignment horizontal="left" vertical="top" wrapText="1"/>
    </xf>
    <xf numFmtId="0" fontId="18" fillId="0" borderId="0" xfId="0" applyFont="1"/>
    <xf numFmtId="0" fontId="5"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5" fillId="13" borderId="14"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5" fillId="13" borderId="14" xfId="0" applyFont="1" applyFill="1" applyBorder="1" applyAlignment="1">
      <alignment horizontal="left" vertical="center" wrapText="1"/>
    </xf>
    <xf numFmtId="0" fontId="5" fillId="13" borderId="10" xfId="0" applyFont="1" applyFill="1" applyBorder="1" applyAlignment="1">
      <alignment horizontal="left" vertical="center" wrapText="1"/>
    </xf>
    <xf numFmtId="0" fontId="5" fillId="13" borderId="7" xfId="0" applyFont="1" applyFill="1" applyBorder="1" applyAlignment="1">
      <alignment horizontal="left" vertical="center" wrapText="1"/>
    </xf>
    <xf numFmtId="0" fontId="19"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9" fillId="4"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21" fillId="4" borderId="1" xfId="0" applyFont="1" applyFill="1" applyBorder="1" applyAlignment="1">
      <alignment horizontal="left" vertical="top" wrapText="1"/>
    </xf>
    <xf numFmtId="0" fontId="22" fillId="4" borderId="1" xfId="0" applyFont="1" applyFill="1" applyBorder="1" applyAlignment="1">
      <alignment horizontal="left" vertical="top" wrapText="1"/>
    </xf>
    <xf numFmtId="0" fontId="23" fillId="0" borderId="0" xfId="0" applyFont="1"/>
    <xf numFmtId="0" fontId="20" fillId="10" borderId="3" xfId="0" applyFont="1" applyFill="1" applyBorder="1" applyAlignment="1">
      <alignment horizontal="left" vertical="top" wrapText="1"/>
    </xf>
    <xf numFmtId="0" fontId="20" fillId="10" borderId="1" xfId="0" applyFont="1" applyFill="1" applyBorder="1" applyAlignment="1">
      <alignment horizontal="left" vertical="top" wrapText="1"/>
    </xf>
    <xf numFmtId="0" fontId="20" fillId="10" borderId="5" xfId="0" applyFont="1" applyFill="1" applyBorder="1" applyAlignment="1">
      <alignment horizontal="left" vertical="top" wrapText="1"/>
    </xf>
    <xf numFmtId="0" fontId="24" fillId="0" borderId="0" xfId="0" applyFont="1"/>
    <xf numFmtId="0" fontId="26" fillId="4" borderId="1" xfId="0" applyFont="1" applyFill="1" applyBorder="1" applyAlignment="1">
      <alignment horizontal="left" vertical="top" wrapText="1"/>
    </xf>
    <xf numFmtId="0" fontId="25" fillId="4" borderId="1" xfId="0" applyFont="1" applyFill="1" applyBorder="1" applyAlignment="1">
      <alignment horizontal="left" vertical="top" wrapText="1"/>
    </xf>
    <xf numFmtId="0" fontId="27" fillId="4" borderId="1" xfId="0" applyFont="1" applyFill="1" applyBorder="1" applyAlignment="1">
      <alignment horizontal="left" vertical="top" wrapText="1"/>
    </xf>
    <xf numFmtId="0" fontId="28" fillId="0" borderId="0" xfId="0" applyFont="1"/>
    <xf numFmtId="0" fontId="3" fillId="4" borderId="0" xfId="0" applyFont="1" applyFill="1" applyAlignment="1">
      <alignment horizontal="left" vertical="top"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10" fillId="2" borderId="0" xfId="0" applyFont="1" applyFill="1" applyAlignment="1">
      <alignment horizontal="center" vertical="center" wrapText="1"/>
    </xf>
    <xf numFmtId="0" fontId="8" fillId="7" borderId="1" xfId="0" applyFont="1" applyFill="1" applyBorder="1" applyAlignment="1">
      <alignment horizontal="left" vertical="center" wrapText="1"/>
    </xf>
    <xf numFmtId="0" fontId="8" fillId="8" borderId="0" xfId="0" applyFont="1" applyFill="1" applyAlignment="1">
      <alignment horizontal="left" vertical="center" wrapText="1"/>
    </xf>
    <xf numFmtId="0" fontId="4" fillId="3" borderId="0" xfId="0" applyFont="1" applyFill="1" applyAlignment="1">
      <alignment horizontal="left" vertical="center" wrapText="1"/>
    </xf>
    <xf numFmtId="0" fontId="3" fillId="4" borderId="0" xfId="0" applyFont="1" applyFill="1" applyAlignment="1">
      <alignment horizontal="left" vertical="center" wrapText="1"/>
    </xf>
    <xf numFmtId="0" fontId="1" fillId="11" borderId="0" xfId="0" applyFont="1" applyFill="1" applyAlignment="1">
      <alignment horizontal="center" vertical="center" wrapText="1"/>
    </xf>
    <xf numFmtId="0" fontId="2" fillId="12" borderId="0" xfId="0" applyFont="1" applyFill="1" applyAlignment="1">
      <alignment horizontal="center" vertical="center" wrapText="1"/>
    </xf>
    <xf numFmtId="0" fontId="3" fillId="13" borderId="15" xfId="0" applyFont="1" applyFill="1" applyBorder="1" applyAlignment="1">
      <alignment horizontal="left" vertical="top" wrapText="1"/>
    </xf>
    <xf numFmtId="0" fontId="3" fillId="13" borderId="0" xfId="0" applyFont="1" applyFill="1" applyAlignment="1">
      <alignment horizontal="left" vertical="top" wrapText="1"/>
    </xf>
    <xf numFmtId="0" fontId="5" fillId="13" borderId="14" xfId="0" applyFont="1" applyFill="1" applyBorder="1" applyAlignment="1">
      <alignment horizontal="left" vertical="top" wrapText="1"/>
    </xf>
    <xf numFmtId="0" fontId="5" fillId="13" borderId="10" xfId="0" applyFont="1" applyFill="1" applyBorder="1" applyAlignment="1">
      <alignment horizontal="left" vertical="top" wrapText="1"/>
    </xf>
    <xf numFmtId="0" fontId="5" fillId="13" borderId="7" xfId="0" applyFont="1" applyFill="1" applyBorder="1" applyAlignment="1">
      <alignment horizontal="left" vertical="top" wrapText="1"/>
    </xf>
    <xf numFmtId="0" fontId="5" fillId="13" borderId="14" xfId="0" applyFont="1" applyFill="1" applyBorder="1" applyAlignment="1">
      <alignment horizontal="left" vertical="center" wrapText="1"/>
    </xf>
    <xf numFmtId="0" fontId="5" fillId="13" borderId="10" xfId="0" applyFont="1" applyFill="1" applyBorder="1" applyAlignment="1">
      <alignment horizontal="left" vertical="center" wrapText="1"/>
    </xf>
    <xf numFmtId="0" fontId="5" fillId="13" borderId="7" xfId="0" applyFont="1" applyFill="1" applyBorder="1" applyAlignment="1">
      <alignment horizontal="left" vertical="center" wrapText="1"/>
    </xf>
    <xf numFmtId="0" fontId="8" fillId="5" borderId="1" xfId="0" applyFont="1" applyFill="1" applyBorder="1" applyAlignment="1">
      <alignment horizontal="left" vertical="top" wrapText="1"/>
    </xf>
    <xf numFmtId="0" fontId="4" fillId="3" borderId="0" xfId="0" applyFont="1" applyFill="1" applyAlignment="1">
      <alignment horizontal="left" vertical="top" wrapText="1"/>
    </xf>
    <xf numFmtId="0" fontId="7" fillId="4"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4" fillId="4" borderId="5"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12"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0" fillId="0" borderId="0" xfId="0" applyAlignment="1"/>
    <xf numFmtId="0" fontId="0" fillId="0" borderId="2" xfId="0" applyBorder="1" applyAlignment="1"/>
    <xf numFmtId="0" fontId="0" fillId="0" borderId="3" xfId="0" applyBorder="1" applyAlignment="1"/>
    <xf numFmtId="0" fontId="16" fillId="0" borderId="2" xfId="0" applyFont="1" applyBorder="1" applyAlignment="1"/>
    <xf numFmtId="0" fontId="16" fillId="0" borderId="3" xfId="0" applyFont="1" applyBorder="1" applyAlignment="1"/>
  </cellXfs>
  <cellStyles count="2">
    <cellStyle name="Normal" xfId="0" builtinId="0"/>
    <cellStyle name="Standard 2" xfId="1" xr:uid="{FD203616-22B6-4D66-9469-6229F130345E}"/>
  </cellStyles>
  <dxfs count="29">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numFmt numFmtId="0" formatCode="General"/>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dxf>
    <dxf>
      <font>
        <b/>
        <strike val="0"/>
        <condense val="0"/>
        <extend val="0"/>
        <outline val="0"/>
        <shadow val="0"/>
        <vertAlign val="baseline"/>
        <sz val="10"/>
        <color rgb="FFFFFFFF"/>
        <name val="Arial"/>
        <family val="2"/>
      </font>
      <fill>
        <patternFill patternType="solid">
          <fgColor indexed="64"/>
          <bgColor rgb="FF1F3864"/>
        </patternFill>
      </fill>
      <alignment horizontal="center" vertical="center" wrapText="1"/>
      <border outline="0">
        <left style="thin">
          <color rgb="FFBFBFBF"/>
        </left>
        <right style="thin">
          <color rgb="FFBFBFBF"/>
        </right>
        <top/>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BFBFBF"/>
        </top>
        <bottom style="thin">
          <color indexed="64"/>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Zora_Client_Onboarding_Data_Empty_Template.xlsx" TargetMode="External"/><Relationship Id="rId2" Type="http://schemas.openxmlformats.org/officeDocument/2006/relationships/externalLinkPath" Target="https://deudeloitte.sharepoint.com/sites/CovestroZoraAI/Shared%20Documents/Allgemein/CFO%20Insights%20Pilot/Data/Zora_Client_Onboarding_Data_Empty_Template.xlsx" TargetMode="External"/><Relationship Id="rId1" Type="http://schemas.openxmlformats.org/officeDocument/2006/relationships/externalLinkPath" Target="/sites/CovestroZoraAI/Shared%20Documents/Allgemein/CFO%20Insights%20Pilot/Data/Zora_Client_Onboarding_Data_Empty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Overview &amp; Checklist"/>
      <sheetName val="2. Table Info"/>
      <sheetName val="3. Column Info"/>
      <sheetName val="4. Metrics"/>
      <sheetName val="5. GT — Ask Zora"/>
      <sheetName val="6. KPI Cards"/>
      <sheetName val="7. Performance Pulse"/>
      <sheetName val="8. Daily News Logic"/>
      <sheetName val="9. Fiscal &amp; Rounding Rules"/>
      <sheetName val="10. Requirements &amp; Notes"/>
      <sheetName val="Zora_Client_Onboarding_Data_Emp"/>
      <sheetName val="3"/>
    </sheetNames>
    <sheetDataSet>
      <sheetData sheetId="0"/>
      <sheetData sheetId="1"/>
      <sheetData sheetId="2">
        <row r="6">
          <cell r="B6" t="str">
            <v>BG, booked</v>
          </cell>
          <cell r="C6" t="str">
            <v>BG__BOOKED</v>
          </cell>
          <cell r="D6" t="str">
            <v>Booked business group</v>
          </cell>
          <cell r="E6" t="str">
            <v>Indicator for the booked business group (BG) of a document. Used in profitability analysis (CO-PA) and reporting to delimit booking units within a company code.</v>
          </cell>
        </row>
        <row r="7">
          <cell r="B7" t="str">
            <v>BG, booked2</v>
          </cell>
          <cell r="C7" t="str">
            <v>BG__BOOKED2</v>
          </cell>
          <cell r="D7" t="str">
            <v>Booked business group (TEXT)</v>
          </cell>
        </row>
        <row r="8">
          <cell r="B8" t="str">
            <v>Company Code</v>
          </cell>
          <cell r="C8" t="str">
            <v>COMPANY_CODE</v>
          </cell>
          <cell r="D8" t="str">
            <v>Company code</v>
          </cell>
          <cell r="E8" t="e">
            <v>#VALUE!</v>
          </cell>
        </row>
        <row r="9">
          <cell r="B9" t="str">
            <v>Company Code2</v>
          </cell>
          <cell r="C9" t="str">
            <v>COMPANY_CODE2</v>
          </cell>
          <cell r="D9" t="str">
            <v>Company code (TEXT)</v>
          </cell>
        </row>
        <row r="10">
          <cell r="B10" t="str">
            <v>Core Business Indicator</v>
          </cell>
          <cell r="C10" t="str">
            <v>CORE_BUSINESS_INDICATOR</v>
          </cell>
          <cell r="D10" t="str">
            <v>Core business indicator</v>
          </cell>
          <cell r="E10" t="e">
            <v>#VALUE!</v>
          </cell>
        </row>
        <row r="11">
          <cell r="B11" t="str">
            <v>Core Business Indicator2</v>
          </cell>
          <cell r="C11" t="str">
            <v>CORE_BUSINESS_INDICATOR2</v>
          </cell>
          <cell r="D11" t="str">
            <v>Core business indicator (TEXT)</v>
          </cell>
        </row>
        <row r="12">
          <cell r="B12" t="str">
            <v>Country ship-to</v>
          </cell>
          <cell r="C12" t="str">
            <v>COUNTRY_SHIP_TO</v>
          </cell>
          <cell r="D12" t="str">
            <v>Country of the ship-to party</v>
          </cell>
          <cell r="E12" t="str">
            <v>The country of the ship-to partner (goods recipient) from the customer master. Used for geographic analyses, foreign trade statistics and export controls. Part of the customer attributes in SAP S/4HANA (Ship-to Country).</v>
          </cell>
        </row>
        <row r="13">
          <cell r="B13" t="str">
            <v>Country ship-to2</v>
          </cell>
          <cell r="C13" t="str">
            <v>COUNTRY_SHIP_TO2</v>
          </cell>
          <cell r="D13" t="str">
            <v>Country of the ship-to party (TEXT)</v>
          </cell>
        </row>
        <row r="14">
          <cell r="B14" t="str">
            <v>Country sold-to</v>
          </cell>
          <cell r="C14" t="str">
            <v>COUNTRY_SOLD_TO</v>
          </cell>
          <cell r="D14" t="str">
            <v>Country of the sold-to party</v>
          </cell>
          <cell r="E14" t="str">
            <v>The country of the sold-to partner (ordering customer) from the customer master. Used for geographic sales analyses. Part of the customer attributes in SAP S/4HANA (Sold-to Country).</v>
          </cell>
        </row>
        <row r="15">
          <cell r="B15" t="str">
            <v>Country sold-to2</v>
          </cell>
          <cell r="C15" t="str">
            <v>COUNTRY_SOLD_TO2</v>
          </cell>
          <cell r="D15" t="str">
            <v>Country of the sold-to party (TEXT)</v>
          </cell>
        </row>
        <row r="16">
          <cell r="B16" t="str">
            <v>Cust Hier1</v>
          </cell>
          <cell r="C16" t="str">
            <v>CUST_HIER1</v>
          </cell>
          <cell r="D16" t="str">
            <v>Customer hierarchy level 1</v>
          </cell>
          <cell r="E16" t="e">
            <v>#VALUE!</v>
          </cell>
        </row>
        <row r="17">
          <cell r="B17" t="str">
            <v>Cust Hier12</v>
          </cell>
          <cell r="C17" t="str">
            <v>CUST_HIER12</v>
          </cell>
          <cell r="D17" t="str">
            <v>Customer hierarchy level 1 (TEXT)</v>
          </cell>
        </row>
        <row r="18">
          <cell r="B18" t="str">
            <v>Cust Hier2</v>
          </cell>
          <cell r="C18" t="str">
            <v>CUST_HIER2</v>
          </cell>
          <cell r="D18" t="str">
            <v>Customer hierarchy level 2</v>
          </cell>
          <cell r="E18" t="str">
            <v>Second level of the customer hierarchy. Typically represents an intermediate level (e.g. regional subsidiary) within the customer hierarchy.</v>
          </cell>
        </row>
        <row r="19">
          <cell r="B19" t="str">
            <v>Cust Hier22</v>
          </cell>
          <cell r="C19" t="str">
            <v>CUST_HIER22</v>
          </cell>
          <cell r="D19" t="str">
            <v>Customer hierarchy level 2 (TEXT)</v>
          </cell>
        </row>
        <row r="20">
          <cell r="B20" t="str">
            <v>Cust Hier3</v>
          </cell>
          <cell r="C20" t="str">
            <v>CUST_HIER3</v>
          </cell>
          <cell r="D20" t="str">
            <v>Customer hierarchy level 3</v>
          </cell>
          <cell r="E20" t="str">
            <v>Third level of the customer hierarchy. Represents the lowest standard hierarchy level (e.g. individual branch or subsidiary of the customer).</v>
          </cell>
        </row>
        <row r="21">
          <cell r="B21" t="str">
            <v>Cust Hier32</v>
          </cell>
          <cell r="C21" t="str">
            <v>CUST_HIER32</v>
          </cell>
          <cell r="D21" t="str">
            <v>Customer hierarchy level 3 (TEXT)</v>
          </cell>
        </row>
        <row r="22">
          <cell r="B22" t="str">
            <v>Customer Channel</v>
          </cell>
          <cell r="C22" t="str">
            <v>CUSTOMER_CHANNEL</v>
          </cell>
          <cell r="D22" t="str">
            <v>Customer sales channel</v>
          </cell>
          <cell r="E22" t="str">
            <v>An attribute that classifies a customer's sales channel(e.g. direct sales, distributor, e-commerce). Used for segmentation and sales analyses in BW reporting.</v>
          </cell>
        </row>
        <row r="23">
          <cell r="B23" t="str">
            <v>Customer Channel2</v>
          </cell>
          <cell r="C23" t="str">
            <v>CUSTOMER_CHANNEL2</v>
          </cell>
          <cell r="D23" t="str">
            <v>Customer sales channel (TEXT)</v>
          </cell>
        </row>
        <row r="24">
          <cell r="B24" t="str">
            <v>Customer Cluster</v>
          </cell>
          <cell r="C24" t="str">
            <v>CUSTOMER_CLUSTER</v>
          </cell>
          <cell r="D24" t="str">
            <v>Customer cluster</v>
          </cell>
          <cell r="E24" t="str">
            <v>An attribute for grouping customers by strategic or analytical criteria (e.g. size, potential, industry). Used in sales controlling and segmentation analysis.</v>
          </cell>
        </row>
        <row r="25">
          <cell r="B25" t="str">
            <v>Customer Cluster2</v>
          </cell>
          <cell r="C25" t="str">
            <v>CUSTOMER_CLUSTER2</v>
          </cell>
          <cell r="D25" t="str">
            <v>Customer cluster (TEXT)</v>
          </cell>
        </row>
        <row r="26">
          <cell r="B26" t="str">
            <v>Extern. Sales Office</v>
          </cell>
          <cell r="C26" t="str">
            <v>EXTERN__SALES_OFFICE</v>
          </cell>
          <cell r="D26" t="str">
            <v>External sales office code</v>
          </cell>
          <cell r="E26" t="e">
            <v>#VALUE!</v>
          </cell>
        </row>
        <row r="27">
          <cell r="B27" t="str">
            <v>Extern. Sales Office2</v>
          </cell>
          <cell r="C27" t="str">
            <v>EXTERN__SALES_OFFICE2</v>
          </cell>
          <cell r="D27" t="str">
            <v>External sales office code (TEXT)</v>
          </cell>
        </row>
        <row r="28">
          <cell r="B28" t="str">
            <v>FI-ML0</v>
          </cell>
          <cell r="C28" t="str">
            <v>FI_ML0</v>
          </cell>
          <cell r="D28" t="str">
            <v>Financial characteristic level 0</v>
          </cell>
          <cell r="E28" t="str">
            <v>An internal characteristic from financial accounting (FI) representing a top-level classification (Level 0) for cross-company-code analyses. Used in integrated financial and management reporting.</v>
          </cell>
        </row>
        <row r="29">
          <cell r="B29" t="str">
            <v>FI-ML02</v>
          </cell>
          <cell r="C29" t="str">
            <v>FI_ML02</v>
          </cell>
          <cell r="D29" t="str">
            <v>Financial characteristic level 0 (TEXT)</v>
          </cell>
        </row>
        <row r="30">
          <cell r="B30" t="str">
            <v>Fiscal year/period</v>
          </cell>
          <cell r="C30" t="str">
            <v>FISCAL_YEAR_PERIOD</v>
          </cell>
          <cell r="D30" t="str">
            <v>Fiscal year / period</v>
          </cell>
          <cell r="E30" t="str">
            <v xml:space="preserve">Combination of fiscal year (e.g. 2025) and posting period (e.g. 001–012 for months). Serves as the time dimension in all SAP posting and controlling reports. </v>
          </cell>
        </row>
        <row r="31">
          <cell r="B31" t="str">
            <v>Fiscal year/period2</v>
          </cell>
          <cell r="C31" t="str">
            <v>FISCAL_YEAR_PERIOD2</v>
          </cell>
          <cell r="D31" t="str">
            <v>Fiscal year / period (TEXT)</v>
          </cell>
        </row>
        <row r="32">
          <cell r="B32" t="str">
            <v>Int. Sales Group</v>
          </cell>
          <cell r="C32" t="str">
            <v>INT__SALES_GROUP</v>
          </cell>
          <cell r="D32" t="str">
            <v>Internal sales group</v>
          </cell>
          <cell r="E32" t="str">
            <v xml:space="preserve">An internal sales group is a sub-unit of a sales office. Employees are assigned to sales groups; a group is responsible for all line items in a sales document. </v>
          </cell>
        </row>
        <row r="33">
          <cell r="B33" t="str">
            <v>Int. Sales Group2</v>
          </cell>
          <cell r="C33" t="str">
            <v>INT__SALES_GROUP2</v>
          </cell>
          <cell r="D33" t="str">
            <v>Internal sales group (TEXT)</v>
          </cell>
        </row>
        <row r="34">
          <cell r="B34" t="str">
            <v>Key Industry</v>
          </cell>
          <cell r="C34" t="str">
            <v>KEY_INDUSTRY</v>
          </cell>
          <cell r="D34" t="str">
            <v>Key industry</v>
          </cell>
          <cell r="E34" t="str">
            <v>An attribute that classifies the target industry of a customer or product (e.g. Automotive, Construction, Electronics). Used for market and industry segmentation in sales reporting.</v>
          </cell>
        </row>
        <row r="35">
          <cell r="B35" t="str">
            <v>Key Industry2</v>
          </cell>
          <cell r="C35" t="str">
            <v>KEY_INDUSTRY2</v>
          </cell>
          <cell r="D35" t="str">
            <v>Key industry (TEXT)</v>
          </cell>
        </row>
        <row r="36">
          <cell r="B36" t="str">
            <v>Marketing Customer ship-to</v>
          </cell>
          <cell r="C36" t="str">
            <v>MARKETING_CUSTOMER_SHIP_TO</v>
          </cell>
          <cell r="D36" t="str">
            <v>Marketing customer (ship-to)</v>
          </cell>
          <cell r="E36" t="str">
            <v xml:space="preserve">An attribute in the customer master that assigns the ship-to party to a higher-level marketing customer. </v>
          </cell>
        </row>
        <row r="37">
          <cell r="B37" t="str">
            <v>Marketing Customer ship-to2</v>
          </cell>
          <cell r="C37" t="str">
            <v>MARKETING_CUSTOMER_SHIP_TO2</v>
          </cell>
          <cell r="D37" t="str">
            <v>Marketing customer (ship-to) (TEXT)</v>
          </cell>
        </row>
        <row r="38">
          <cell r="B38" t="str">
            <v>Marketing Customer sold-to</v>
          </cell>
          <cell r="C38" t="str">
            <v>MARKETING_CUSTOMER_SOLD_TO</v>
          </cell>
          <cell r="D38" t="str">
            <v>Marketing customer (sold-to)</v>
          </cell>
          <cell r="E38" t="str">
            <v>An attribute in the customer master that assigns the sold-to party to a higher-level marketing customer.</v>
          </cell>
        </row>
        <row r="39">
          <cell r="B39" t="str">
            <v>Marketing Customer sold-to2</v>
          </cell>
          <cell r="C39" t="str">
            <v>MARKETING_CUSTOMER_SOLD_TO2</v>
          </cell>
          <cell r="D39" t="str">
            <v>Marketing customer (sold-to) (TEXT)</v>
          </cell>
        </row>
        <row r="40">
          <cell r="B40" t="str">
            <v>Marketing Level 0</v>
          </cell>
          <cell r="C40" t="str">
            <v>MARKETING_LEVEL_0</v>
          </cell>
          <cell r="D40" t="str">
            <v>Marketing level 0 (top level)</v>
          </cell>
          <cell r="E40" t="str">
            <v>Highest level of the internal marketing hierarchy. Typically corresponds to the reportable segment (e.g. "Performance Materials" or "Solutions &amp; Specialties"). Serves as the highest aggregation level in product portfolio reporting.</v>
          </cell>
        </row>
        <row r="41">
          <cell r="B41" t="str">
            <v>Marketing Level 02</v>
          </cell>
          <cell r="C41" t="str">
            <v>MARKETING_LEVEL_02</v>
          </cell>
          <cell r="D41" t="str">
            <v>Marketing level 0 (top level) (TEXT)</v>
          </cell>
        </row>
        <row r="42">
          <cell r="B42" t="str">
            <v>Marketing Level 1</v>
          </cell>
          <cell r="C42" t="str">
            <v>MARKETING_LEVEL_1</v>
          </cell>
          <cell r="D42" t="str">
            <v>Marketing level 1</v>
          </cell>
          <cell r="E42" t="str">
            <v>Second level of the internal marketing hierarchy. Subdivides the reportable segment into strategic product groups or business entities.</v>
          </cell>
        </row>
        <row r="43">
          <cell r="B43" t="str">
            <v>Marketing Level 12</v>
          </cell>
          <cell r="C43" t="str">
            <v>MARKETING_LEVEL_12</v>
          </cell>
          <cell r="D43" t="str">
            <v>Marketing level 1 (TEXT)</v>
          </cell>
        </row>
        <row r="44">
          <cell r="B44" t="str">
            <v>Marketing Level 2</v>
          </cell>
          <cell r="C44" t="str">
            <v>MARKETING_LEVEL_2</v>
          </cell>
          <cell r="D44" t="str">
            <v>Marketing level 2</v>
          </cell>
          <cell r="E44" t="str">
            <v>Third level of the internal marketing hierarchy. Represents a further subdivision of Marketing Level 1 groups, e.g. by product lines or application areas.</v>
          </cell>
        </row>
        <row r="45">
          <cell r="B45" t="str">
            <v>Marketing Level 22</v>
          </cell>
          <cell r="C45" t="str">
            <v>MARKETING_LEVEL_22</v>
          </cell>
          <cell r="D45" t="str">
            <v>Marketing level 2 (TEXT)</v>
          </cell>
        </row>
        <row r="46">
          <cell r="B46" t="str">
            <v>Marketing Level 3</v>
          </cell>
          <cell r="C46" t="str">
            <v>MARKETING_LEVEL_3</v>
          </cell>
          <cell r="D46" t="str">
            <v>Marketing level 3</v>
          </cell>
          <cell r="E46" t="str">
            <v>Fourth level of the internal marketing hierarchy. Further detail breakdown below Marketing Level 2, e.g. by product types or market segments.</v>
          </cell>
        </row>
        <row r="47">
          <cell r="B47" t="str">
            <v>Marketing Level 32</v>
          </cell>
          <cell r="C47" t="str">
            <v>MARKETING_LEVEL_32</v>
          </cell>
          <cell r="D47" t="str">
            <v>Marketing level 3 (TEXT)</v>
          </cell>
        </row>
        <row r="48">
          <cell r="B48" t="str">
            <v>Marketing Level 4</v>
          </cell>
          <cell r="C48" t="str">
            <v>MARKETING_LEVEL_4</v>
          </cell>
          <cell r="D48" t="str">
            <v>Marketing level 4 (lowest level)</v>
          </cell>
          <cell r="E48" t="str">
            <v>Lowest level of the internal marketing hierarchy. Represents the most granular classification in the marketing product tree, e.g. individual product grades or specifications.</v>
          </cell>
        </row>
        <row r="49">
          <cell r="B49" t="str">
            <v>Marketing Level 42</v>
          </cell>
          <cell r="C49" t="str">
            <v>MARKETING_LEVEL_42</v>
          </cell>
          <cell r="D49" t="str">
            <v>Marketing level 4 (lowest level) (TEXT)</v>
          </cell>
        </row>
        <row r="50">
          <cell r="B50" t="str">
            <v>Material</v>
          </cell>
          <cell r="C50" t="str">
            <v>MATERIAL</v>
          </cell>
          <cell r="D50" t="str">
            <v>Material number</v>
          </cell>
          <cell r="E50" t="str">
            <v xml:space="preserve">The unique alphanumeric identifier of a material (product, raw material, semi-finished good) in the SAP system. Central master data object to which all logistical and accounting transactions are assigned. </v>
          </cell>
        </row>
        <row r="51">
          <cell r="B51" t="str">
            <v>Material2</v>
          </cell>
          <cell r="C51" t="str">
            <v>MATERIAL2</v>
          </cell>
          <cell r="D51" t="str">
            <v>Material number (TEXT)</v>
          </cell>
        </row>
        <row r="52">
          <cell r="B52" t="str">
            <v>Net due date</v>
          </cell>
          <cell r="C52" t="str">
            <v>NET_DUE_DATE</v>
          </cell>
          <cell r="D52" t="str">
            <v>Net due date</v>
          </cell>
          <cell r="E52" t="str">
            <v>The date on which an open receivable (customer line item) is due net without any deduction. Derived from the invoice date plus the agreed payment terms. Central to accounts receivable management and WoC/EDO KPIs.</v>
          </cell>
        </row>
        <row r="53">
          <cell r="B53" t="str">
            <v>PH3 Cluster</v>
          </cell>
          <cell r="C53" t="str">
            <v>PH3_CLUSTER</v>
          </cell>
          <cell r="D53" t="str">
            <v>Product hierarchy level 3 cluster</v>
          </cell>
          <cell r="E53" t="str">
            <v>A grouping based on the third product hierarchy level (PH3). Aggregates product groups into strategic clusters used for sales and planning analyses. Example cluster: ACR for acrylate product groups.</v>
          </cell>
        </row>
        <row r="54">
          <cell r="B54" t="str">
            <v>PH3 Cluster2</v>
          </cell>
          <cell r="C54" t="str">
            <v>PH3_CLUSTER2</v>
          </cell>
          <cell r="D54" t="str">
            <v>Product hierarchy level 3 cluster (TEXT)</v>
          </cell>
        </row>
        <row r="55">
          <cell r="B55" t="str">
            <v>Plant</v>
          </cell>
          <cell r="C55" t="str">
            <v>PLANT</v>
          </cell>
          <cell r="D55" t="str">
            <v>Plant</v>
          </cell>
          <cell r="E55" t="str">
            <v xml:space="preserve">A plant is an organizational unit within logistics that represents the location of a production facility, storage location or service provision. All material stocks, production orders and deliveries are assigned to a plant. </v>
          </cell>
        </row>
        <row r="56">
          <cell r="B56" t="str">
            <v>Plant2</v>
          </cell>
          <cell r="C56" t="str">
            <v>PLANT2</v>
          </cell>
          <cell r="D56" t="str">
            <v>Plant (TEXT)</v>
          </cell>
        </row>
        <row r="57">
          <cell r="B57" t="str">
            <v>Posting date</v>
          </cell>
          <cell r="C57" t="str">
            <v>POSTING_DATE</v>
          </cell>
          <cell r="D57" t="str">
            <v>Posting date</v>
          </cell>
          <cell r="E57" t="str">
            <v xml:space="preserve">The date on which an accounting document is posted in the system. Determines the assignment to the posting period and fiscal year. May differ from the document date (invoice date). </v>
          </cell>
        </row>
        <row r="58">
          <cell r="B58" t="str">
            <v>Prod.Hier.1</v>
          </cell>
          <cell r="C58" t="str">
            <v>PROD_HIER_1</v>
          </cell>
          <cell r="D58" t="str">
            <v>Product hierarchy level 1</v>
          </cell>
          <cell r="E58" t="str">
            <v>First (highest) level of the product hierarchy used for high-level product grouping. An alphanumeric character string that groups materials by overarching characteristics (e.g. product division).</v>
          </cell>
        </row>
        <row r="59">
          <cell r="B59" t="str">
            <v>Prod.Hier.12</v>
          </cell>
          <cell r="C59" t="str">
            <v>PROD_HIER_12</v>
          </cell>
          <cell r="D59" t="str">
            <v>Product hierarchy level 1 (TEXT)</v>
          </cell>
        </row>
        <row r="60">
          <cell r="B60" t="str">
            <v>Prod.Hier.2</v>
          </cell>
          <cell r="C60" t="str">
            <v>PROD_HIER_2</v>
          </cell>
          <cell r="D60" t="str">
            <v>Product hierarchy level 2</v>
          </cell>
          <cell r="E60" t="str">
            <v xml:space="preserve">Second level of the product hierarchy. Subdivides the first level into product categories. </v>
          </cell>
        </row>
        <row r="61">
          <cell r="B61" t="str">
            <v>Prod.Hier.22</v>
          </cell>
          <cell r="C61" t="str">
            <v>PROD_HIER_22</v>
          </cell>
          <cell r="D61" t="str">
            <v>Product hierarchy level 2 (TEXT)</v>
          </cell>
        </row>
        <row r="62">
          <cell r="B62" t="str">
            <v>Prod.Hier.3</v>
          </cell>
          <cell r="C62" t="str">
            <v>PROD_HIER_3</v>
          </cell>
          <cell r="D62" t="str">
            <v>Product hierarchy level 3</v>
          </cell>
          <cell r="E62" t="str">
            <v xml:space="preserve">Third level of the  product hierarchy. Represents the product subcategory or product type. </v>
          </cell>
        </row>
        <row r="63">
          <cell r="B63" t="str">
            <v>Prod.Hier.32</v>
          </cell>
          <cell r="C63" t="str">
            <v>PROD_HIER_32</v>
          </cell>
          <cell r="D63" t="str">
            <v>Product hierarchy level 3 (TEXT)</v>
          </cell>
        </row>
        <row r="64">
          <cell r="B64" t="str">
            <v>Prod.Hier.4</v>
          </cell>
          <cell r="C64" t="str">
            <v>PROD_HIER_4</v>
          </cell>
          <cell r="D64" t="str">
            <v>Product hierarchy level 4</v>
          </cell>
          <cell r="E64" t="str">
            <v>Fourth level of the product hierarchy used for more detailed product classifications.</v>
          </cell>
        </row>
        <row r="65">
          <cell r="B65" t="str">
            <v>Prod.Hier.42</v>
          </cell>
          <cell r="C65" t="str">
            <v>PROD_HIER_42</v>
          </cell>
          <cell r="D65" t="str">
            <v>Product hierarchy level 4 (TEXT)</v>
          </cell>
        </row>
        <row r="66">
          <cell r="B66" t="str">
            <v>Prod.Hier.5</v>
          </cell>
          <cell r="C66" t="str">
            <v>PROD_HIER_5</v>
          </cell>
          <cell r="D66" t="str">
            <v>Product hierarchy level 5</v>
          </cell>
          <cell r="E66" t="str">
            <v>Fifth level of the product hierarchy used for more granular product group analyses (not used anymore)</v>
          </cell>
        </row>
        <row r="67">
          <cell r="B67" t="str">
            <v>Prod.Hier.52</v>
          </cell>
          <cell r="C67" t="str">
            <v>PROD_HIER_52</v>
          </cell>
          <cell r="D67" t="str">
            <v>Product hierarchy level 5 (TEXT)</v>
          </cell>
        </row>
        <row r="68">
          <cell r="B68" t="str">
            <v>Prod.Hier.6</v>
          </cell>
          <cell r="C68" t="str">
            <v>PROD_HIER_6</v>
          </cell>
          <cell r="D68" t="str">
            <v>Product hierarchy level 6</v>
          </cell>
          <cell r="E68" t="str">
            <v>Sixth and lowest level of the product hierarchy at individual product or grade level for detailed product reporting. (not used anymore)</v>
          </cell>
        </row>
        <row r="69">
          <cell r="B69" t="str">
            <v>Prod.Hier.62</v>
          </cell>
          <cell r="C69" t="str">
            <v>PROD_HIER_62</v>
          </cell>
          <cell r="D69" t="str">
            <v>Product hierarchy level 6 (TEXT)</v>
          </cell>
        </row>
        <row r="70">
          <cell r="B70" t="str">
            <v>Produced Material</v>
          </cell>
          <cell r="C70" t="str">
            <v>PRODUCED_MATERIAL</v>
          </cell>
          <cell r="D70" t="str">
            <v>Produced material</v>
          </cell>
          <cell r="E70" t="e">
            <v>#VALUE!</v>
          </cell>
        </row>
        <row r="71">
          <cell r="B71" t="str">
            <v>Produced Material2</v>
          </cell>
          <cell r="C71" t="str">
            <v>PRODUCED_MATERIAL2</v>
          </cell>
          <cell r="D71" t="str">
            <v>Produced material (TEXT)</v>
          </cell>
        </row>
        <row r="72">
          <cell r="B72" t="str">
            <v>Region ship-to</v>
          </cell>
          <cell r="C72" t="str">
            <v>REGION_SHIP_TO</v>
          </cell>
          <cell r="D72" t="str">
            <v>Region of the ship-to party</v>
          </cell>
          <cell r="E72" t="str">
            <v>The geographic region (e.g. state, province) of the ship-to party. Derived from the customer address master and used for regional sales analyses.</v>
          </cell>
        </row>
        <row r="73">
          <cell r="B73" t="str">
            <v>Region ship-to2</v>
          </cell>
          <cell r="C73" t="str">
            <v>REGION_SHIP_TO2</v>
          </cell>
          <cell r="D73" t="str">
            <v>Region of the ship-to party (TEXT)</v>
          </cell>
        </row>
        <row r="74">
          <cell r="B74" t="str">
            <v>Region sold-to</v>
          </cell>
          <cell r="C74" t="str">
            <v>REGION_SOLD_TO</v>
          </cell>
          <cell r="D74" t="str">
            <v>Region of the sold-to party</v>
          </cell>
          <cell r="E74" t="str">
            <v>The geographic region of the sold-to party. Derived from the customer address master and used for regional sales analyses.</v>
          </cell>
        </row>
        <row r="75">
          <cell r="B75" t="str">
            <v>Region sold-to2</v>
          </cell>
          <cell r="C75" t="str">
            <v>REGION_SOLD_TO2</v>
          </cell>
          <cell r="D75" t="str">
            <v>Region of the sold-to party (TEXT)</v>
          </cell>
        </row>
        <row r="76">
          <cell r="B76" t="str">
            <v>Reporting Unit, book</v>
          </cell>
          <cell r="C76" t="str">
            <v>REPORTING_UNIT__BOOK</v>
          </cell>
          <cell r="D76" t="str">
            <v>Reporting unit (booked)</v>
          </cell>
          <cell r="E76" t="e">
            <v>#VALUE!</v>
          </cell>
        </row>
        <row r="77">
          <cell r="B77" t="str">
            <v>Reporting Unit, book2</v>
          </cell>
          <cell r="C77" t="str">
            <v>REPORTING_UNIT__BOOK2</v>
          </cell>
          <cell r="D77" t="str">
            <v>Reporting unit (booked) (TEXT)</v>
          </cell>
        </row>
        <row r="78">
          <cell r="B78" t="str">
            <v>Risk Class</v>
          </cell>
          <cell r="C78" t="str">
            <v>RISK_CLASS</v>
          </cell>
          <cell r="D78" t="str">
            <v>Risk class</v>
          </cell>
          <cell r="E78" t="str">
            <v>Subordinate classification within a risk category. Indicates the severity or probability of occurrence of a risk. Used in the ICS and risk management process to prioritize control measures.</v>
          </cell>
        </row>
        <row r="79">
          <cell r="B79" t="str">
            <v>Risk Class2</v>
          </cell>
          <cell r="C79" t="str">
            <v>RISK_CLASS2</v>
          </cell>
          <cell r="D79" t="str">
            <v>Risk class (TEXT)</v>
          </cell>
        </row>
        <row r="80">
          <cell r="B80" t="str">
            <v>SBE</v>
          </cell>
          <cell r="C80" t="str">
            <v>SBE</v>
          </cell>
          <cell r="D80" t="str">
            <v>Strategic Business Entity</v>
          </cell>
          <cell r="E80" t="e">
            <v>#VALUE!</v>
          </cell>
        </row>
        <row r="81">
          <cell r="B81" t="str">
            <v>SBE2</v>
          </cell>
          <cell r="C81" t="str">
            <v>SBE2</v>
          </cell>
          <cell r="D81" t="str">
            <v>Strategic Business Entity (TEXT)</v>
          </cell>
        </row>
        <row r="82">
          <cell r="B82" t="str">
            <v>Sales Organization</v>
          </cell>
          <cell r="C82" t="str">
            <v>SALES_ORGANIZATION</v>
          </cell>
          <cell r="D82" t="str">
            <v>Sales organization</v>
          </cell>
          <cell r="E82" t="e">
            <v>#VALUE!</v>
          </cell>
        </row>
        <row r="83">
          <cell r="B83" t="str">
            <v>Sales Organization2</v>
          </cell>
          <cell r="C83" t="str">
            <v>SALES_ORGANIZATION2</v>
          </cell>
          <cell r="D83" t="str">
            <v>Sales organization (TEXT)</v>
          </cell>
        </row>
        <row r="84">
          <cell r="B84" t="str">
            <v>Ship-to</v>
          </cell>
          <cell r="C84" t="str">
            <v>SHIP_TO</v>
          </cell>
          <cell r="D84" t="str">
            <v>Ship-to party</v>
          </cell>
          <cell r="E84" t="str">
            <v xml:space="preserve">The partner to whom goods are physically delivered (partner function SH). May differ from the sold-to party. Delivery address, shipping conditions and goods recipient data are taken from the customer master. </v>
          </cell>
        </row>
        <row r="85">
          <cell r="B85" t="str">
            <v>Ship-to2</v>
          </cell>
          <cell r="C85" t="str">
            <v>SHIP_TO2</v>
          </cell>
          <cell r="D85" t="str">
            <v>Ship-to party (TEXT)</v>
          </cell>
        </row>
        <row r="86">
          <cell r="B86" t="str">
            <v>ShipTo State/ Province</v>
          </cell>
          <cell r="C86" t="str">
            <v>SHIPTO_STATE__PROVINCE</v>
          </cell>
          <cell r="D86" t="str">
            <v>State / province of the ship-to party</v>
          </cell>
          <cell r="E86" t="str">
            <v>The state or province of the ship-to party from the address master. Relevant for tax assignments (e.g. US sales tax) and regional analyses.</v>
          </cell>
        </row>
        <row r="87">
          <cell r="B87" t="str">
            <v>ShipTo State/ Province2</v>
          </cell>
          <cell r="C87" t="str">
            <v>SHIPTO_STATE__PROVINCE2</v>
          </cell>
          <cell r="D87" t="str">
            <v>State / province of the ship-to party (TEXT)</v>
          </cell>
        </row>
        <row r="88">
          <cell r="B88" t="str">
            <v>Sold-to</v>
          </cell>
          <cell r="C88" t="str">
            <v>SOLD_TO</v>
          </cell>
          <cell r="D88" t="str">
            <v>Sold-to party</v>
          </cell>
          <cell r="E88" t="str">
            <v>The customer who places the order (partner function SP). Central business partner in the order-to-cash process. Pricing conditions, payment terms and customer hierarchies are derived from the sold-to party.</v>
          </cell>
        </row>
        <row r="89">
          <cell r="B89" t="str">
            <v>Sold-to2</v>
          </cell>
          <cell r="C89" t="str">
            <v>SOLD_TO2</v>
          </cell>
          <cell r="D89" t="str">
            <v>Sold-to party (TEXT)</v>
          </cell>
        </row>
        <row r="90">
          <cell r="B90" t="str">
            <v>SoldTo State/ Province</v>
          </cell>
          <cell r="C90" t="str">
            <v>SOLDTO_STATE__PROVINCE</v>
          </cell>
          <cell r="D90" t="str">
            <v>State / province of the sold-to party</v>
          </cell>
          <cell r="E90" t="str">
            <v>The state or province of the sold-to party from the address master. Relevant for tax and regional analyses.</v>
          </cell>
        </row>
        <row r="91">
          <cell r="B91" t="str">
            <v>SoldTo State/ Province2</v>
          </cell>
          <cell r="C91" t="str">
            <v>SOLDTO_STATE__PROVINCE2</v>
          </cell>
          <cell r="D91" t="str">
            <v>State / province of the sold-to party (TEXT)</v>
          </cell>
        </row>
        <row r="92">
          <cell r="B92" t="str">
            <v>Subregion ship-to</v>
          </cell>
          <cell r="C92" t="str">
            <v>SUBREGION_SHIP_TO</v>
          </cell>
          <cell r="D92" t="str">
            <v>Subregion of the ship-to party</v>
          </cell>
          <cell r="E92" t="str">
            <v>An attribute that assigns the ship-to party to a geographic subregion below the main region (e.g. Eastern Europe as a subregion of Europe). Used for detailed geographic sales analyses.</v>
          </cell>
        </row>
        <row r="93">
          <cell r="B93" t="str">
            <v>Subregion ship-to2</v>
          </cell>
          <cell r="C93" t="str">
            <v>SUBREGION_SHIP_TO2</v>
          </cell>
          <cell r="D93" t="str">
            <v>Subregion of the ship-to party (TEXT)</v>
          </cell>
        </row>
        <row r="94">
          <cell r="B94" t="str">
            <v>Subregion sold-to</v>
          </cell>
          <cell r="C94" t="str">
            <v>SUBREGION_SOLD_TO</v>
          </cell>
          <cell r="D94" t="str">
            <v>Subregion of the sold-to party</v>
          </cell>
          <cell r="E94" t="str">
            <v>An attribute that assigns the sold-to party to a geographic subregion. Analogous to Subregion ship-to, but referring to the sold-to party.</v>
          </cell>
        </row>
        <row r="95">
          <cell r="B95" t="str">
            <v>Subregion sold-to2</v>
          </cell>
          <cell r="C95" t="str">
            <v>SUBREGION_SOLD_TO2</v>
          </cell>
          <cell r="D95" t="str">
            <v>Subregion of the sold-to party (TEXT)</v>
          </cell>
        </row>
        <row r="96">
          <cell r="B96" t="str">
            <v>Unpacked good</v>
          </cell>
          <cell r="C96" t="str">
            <v>UNPACKED_GOOD</v>
          </cell>
          <cell r="D96" t="str">
            <v>Unpacked goods</v>
          </cell>
          <cell r="E96" t="str">
            <v>Indicator or description of whether delivered goods are transported unpackaged (e.g. as bulk goods or in tank trucks). Relevant for packaging classification, hazardous goods handling and sustainability reporting.</v>
          </cell>
        </row>
        <row r="97">
          <cell r="B97" t="str">
            <v>Unpacked good2</v>
          </cell>
          <cell r="C97" t="str">
            <v>UNPACKED_GOOD2</v>
          </cell>
          <cell r="D97" t="str">
            <v>Unpacked goods (TEXT)</v>
          </cell>
        </row>
        <row r="98">
          <cell r="B98" t="str">
            <v>KPI AR-KeyDate: Amount in EUR</v>
          </cell>
          <cell r="C98" t="str">
            <v>KPI_AR_KEYDATE__AMOUNT_IN_EUR</v>
          </cell>
          <cell r="D98" t="str">
            <v>AR receivables amount in EUR at key date</v>
          </cell>
          <cell r="E98" t="str">
            <v>The open receivables amount in EUR at a defined key date. Part of the accounts receivable key date reporting. Used for WoC and receivables stock analyses.</v>
          </cell>
        </row>
        <row r="99">
          <cell r="B99" t="str">
            <v>KPI AR-KeyDate: Counter</v>
          </cell>
          <cell r="C99" t="str">
            <v>KPI_AR_KEYDATE__COUNTER</v>
          </cell>
          <cell r="D99" t="str">
            <v>Number of line items at key date</v>
          </cell>
          <cell r="E99" t="str">
            <v>Number of open customer line items (receivable positions) at the defined key date. Serves as the volume basis for average value calculations in AR key date reporting.</v>
          </cell>
        </row>
        <row r="100">
          <cell r="B100" t="str">
            <v>KPI AR-KeyDate: Net Value of Billing Item (DC)</v>
          </cell>
          <cell r="C100" t="str">
            <v>KPI_AR_KEYDATE__NET_VALUE_OF_BILLING_DC</v>
          </cell>
          <cell r="D100" t="str">
            <v>Net value of billing item in document currency at key date</v>
          </cell>
          <cell r="E100" t="str">
            <v>The net value of an invoice line item in document currency (DC) at the key date. Starting figure for the calculation of weighted receivables KPIs such as WoC and WAT.</v>
          </cell>
        </row>
        <row r="101">
          <cell r="B101" t="str">
            <v>KPI AR-KeyDate: Weighted WoC Target days</v>
          </cell>
          <cell r="C101" t="str">
            <v>KPI_AR_KEYDATE__WEIGHTED_WOC_TARGET_DAYS</v>
          </cell>
          <cell r="D101" t="str">
            <v>Weighted WoC target days at key date</v>
          </cell>
          <cell r="E101" t="e">
            <v>#VALUE!</v>
          </cell>
        </row>
        <row r="102">
          <cell r="B102" t="str">
            <v>KPI AR-KeyDate: Weighted target days</v>
          </cell>
          <cell r="C102" t="str">
            <v>KPI_AR_KEYDATE__WEIGHTED_TARGET_DAYS</v>
          </cell>
          <cell r="D102" t="str">
            <v>Weighted target days at key date</v>
          </cell>
          <cell r="E102" t="e">
            <v>#VALUE!</v>
          </cell>
        </row>
        <row r="103">
          <cell r="B103" t="str">
            <v>BG, booked</v>
          </cell>
          <cell r="C103" t="str">
            <v>BG__BOOKED</v>
          </cell>
          <cell r="D103" t="str">
            <v>Booked business group</v>
          </cell>
          <cell r="E103" t="str">
            <v>Indicator for the booked business group (BG) of a document. Used in profitability analysis (CO-PA) and reporting to delimit booking units within a company code.</v>
          </cell>
        </row>
        <row r="104">
          <cell r="B104" t="str">
            <v>BG, booked2</v>
          </cell>
          <cell r="C104" t="str">
            <v>BG__BOOKED2</v>
          </cell>
          <cell r="D104" t="str">
            <v>Booked business group (TEXT)</v>
          </cell>
        </row>
        <row r="105">
          <cell r="B105" t="str">
            <v>Company Code</v>
          </cell>
          <cell r="C105" t="str">
            <v>COMPANY_CODE</v>
          </cell>
          <cell r="D105" t="str">
            <v>Company code</v>
          </cell>
          <cell r="E105" t="e">
            <v>#VALUE!</v>
          </cell>
        </row>
        <row r="106">
          <cell r="B106" t="str">
            <v>Company Code2</v>
          </cell>
          <cell r="C106" t="str">
            <v>COMPANY_CODE2</v>
          </cell>
          <cell r="D106" t="str">
            <v>Company code (TEXT)</v>
          </cell>
        </row>
        <row r="197">
          <cell r="B197" t="str">
            <v>KPI AR-PM: Amount EUR</v>
          </cell>
          <cell r="C197" t="str">
            <v>KPI_AR_PM__AMOUNT_EUR</v>
          </cell>
          <cell r="D197" t="str">
            <v>Receivables amount in EUR (performance monitoring)</v>
          </cell>
          <cell r="E197" t="str">
            <v>The receivables amount in EUR within the AR Performance Monitoring (AR-PM). Period-related figure for evaluating receivables performance.</v>
          </cell>
        </row>
        <row r="198">
          <cell r="B198" t="str">
            <v>KPI AR-PM: Counter</v>
          </cell>
          <cell r="C198" t="str">
            <v>KPI_AR_PM__COUNTER</v>
          </cell>
          <cell r="D198" t="str">
            <v>Number of line items (performance monitoring)</v>
          </cell>
          <cell r="E198" t="str">
            <v>Number of customer line items in AR Performance Monitoring. Volume basis for weighted average KPIs in AR period reporting.</v>
          </cell>
        </row>
        <row r="199">
          <cell r="B199" t="str">
            <v>KPI AR-PM: Diff WoC Target</v>
          </cell>
          <cell r="C199" t="str">
            <v>KPI_AR_PM__DIFF_WOC_TARGET</v>
          </cell>
          <cell r="D199" t="str">
            <v>WoC deviation from target</v>
          </cell>
          <cell r="E199" t="str">
            <v>The difference between actual WoC (Weeks of Credit) and the target value. Positive value = payment term exceeded; negative value = payment term undercut. Operational control indicator for receivables management.</v>
          </cell>
        </row>
        <row r="200">
          <cell r="B200" t="str">
            <v>KPI AR-PM: EDO (Effective Days Outstanding)</v>
          </cell>
          <cell r="C200" t="str">
            <v>KPI_AR_PM__EDO__EFFECTIVE_DAYS_OUTSTANDING</v>
          </cell>
          <cell r="D200" t="str">
            <v>Effective days outstanding</v>
          </cell>
          <cell r="E200" t="str">
            <v xml:space="preserve">EDO = WAT + WDD. Indicates the actual weighted outstanding days, i.e. the sum of the agreed payment terms (WAT) and the average delay (WDD). Corresponds to the operational DSO (Days Sales Outstanding). </v>
          </cell>
        </row>
        <row r="201">
          <cell r="B201" t="str">
            <v>KPI AR-PM: Performance Days</v>
          </cell>
          <cell r="C201" t="str">
            <v>KPI_AR_PM__PERFORMANCE_DAYS</v>
          </cell>
          <cell r="D201" t="str">
            <v>Performance days</v>
          </cell>
          <cell r="E201" t="e">
            <v>#VALUE!</v>
          </cell>
        </row>
        <row r="202">
          <cell r="B202" t="str">
            <v>KPI AR-PM: Posting Days</v>
          </cell>
          <cell r="C202" t="str">
            <v>KPI_AR_PM__POSTING_DAYS</v>
          </cell>
          <cell r="D202" t="str">
            <v>Posting days</v>
          </cell>
          <cell r="E202" t="str">
            <v>The number of days between the invoice date and the actual posting date in the system. Provides insight into internal posting delays that affect AR performance. Reported separately to distinguish administrative delays from actual payment delays.</v>
          </cell>
        </row>
        <row r="203">
          <cell r="B203" t="str">
            <v>KPI AR-PM: WAT Receivables</v>
          </cell>
          <cell r="C203" t="str">
            <v>KPI_AR_PM__WAT_RECEIVABLES</v>
          </cell>
          <cell r="D203" t="str">
            <v>Weighted average payment terms (receivables)</v>
          </cell>
          <cell r="E203" t="e">
            <v>#VALUE!</v>
          </cell>
        </row>
        <row r="204">
          <cell r="B204" t="str">
            <v>KPI AR-PM: WDD (Weighted Delay Days)</v>
          </cell>
          <cell r="C204" t="str">
            <v>KPI_AR_PM__WDD__WEIGHTED_DELAY_DAYS</v>
          </cell>
          <cell r="D204" t="str">
            <v>Weighted delay days</v>
          </cell>
          <cell r="E204" t="e">
            <v>#VALUE!</v>
          </cell>
        </row>
        <row r="205">
          <cell r="B205" t="str">
            <v>BG, booked</v>
          </cell>
          <cell r="C205" t="str">
            <v>BG__BOOKED</v>
          </cell>
          <cell r="D205" t="str">
            <v>Booked business group</v>
          </cell>
          <cell r="E205" t="str">
            <v>Indicator for the booked business group (BG) of a document. Used in profitability analysis (CO-PA) and reporting to delimit booking units within a company code.</v>
          </cell>
        </row>
        <row r="206">
          <cell r="B206" t="str">
            <v>BG, booked2</v>
          </cell>
          <cell r="C206" t="str">
            <v>BG__BOOKED2</v>
          </cell>
          <cell r="D206" t="str">
            <v>Booked business group (TEXT)</v>
          </cell>
        </row>
        <row r="207">
          <cell r="B207" t="str">
            <v>Company Code</v>
          </cell>
          <cell r="C207" t="str">
            <v>COMPANY_CODE</v>
          </cell>
          <cell r="D207" t="str">
            <v>Company code</v>
          </cell>
          <cell r="E207" t="e">
            <v>#VALUE!</v>
          </cell>
        </row>
        <row r="208">
          <cell r="B208" t="str">
            <v>Company Code2</v>
          </cell>
          <cell r="C208" t="str">
            <v>COMPANY_CODE2</v>
          </cell>
          <cell r="D208" t="str">
            <v>Company code (TEXT)</v>
          </cell>
        </row>
        <row r="209">
          <cell r="B209" t="str">
            <v>Core Business Indicator</v>
          </cell>
          <cell r="C209" t="str">
            <v>CORE_BUSINESS_INDICATOR</v>
          </cell>
          <cell r="D209" t="str">
            <v>Core business indicator</v>
          </cell>
          <cell r="E209" t="e">
            <v>#VALUE!</v>
          </cell>
        </row>
        <row r="210">
          <cell r="B210" t="str">
            <v>Core Business Indicator2</v>
          </cell>
          <cell r="C210" t="str">
            <v>CORE_BUSINESS_INDICATOR2</v>
          </cell>
          <cell r="D210" t="str">
            <v>Core business indicator (TEXT)</v>
          </cell>
        </row>
        <row r="211">
          <cell r="B211" t="str">
            <v>Country ship-to</v>
          </cell>
          <cell r="C211" t="str">
            <v>COUNTRY_SHIP_TO</v>
          </cell>
          <cell r="D211" t="str">
            <v>Country of the ship-to party</v>
          </cell>
          <cell r="E211" t="str">
            <v>The country of the ship-to partner (goods recipient) from the customer master. Used for geographic analyses, foreign trade statistics and export controls. Part of the customer attributes in SAP S/4HANA (Ship-to Country).</v>
          </cell>
        </row>
        <row r="212">
          <cell r="B212" t="str">
            <v>Country ship-to2</v>
          </cell>
          <cell r="C212" t="str">
            <v>COUNTRY_SHIP_TO2</v>
          </cell>
          <cell r="D212" t="str">
            <v>Country of the ship-to party (TEXT)</v>
          </cell>
        </row>
        <row r="213">
          <cell r="B213" t="str">
            <v>Country sold-to</v>
          </cell>
          <cell r="C213" t="str">
            <v>COUNTRY_SOLD_TO</v>
          </cell>
          <cell r="D213" t="str">
            <v>Country of the sold-to party</v>
          </cell>
          <cell r="E213" t="str">
            <v>The country of the sold-to partner (ordering customer) from the customer master. Used for geographic sales analyses. Part of the customer attributes in SAP S/4HANA (Sold-to Country).</v>
          </cell>
        </row>
        <row r="214">
          <cell r="B214" t="str">
            <v>Country sold-to2</v>
          </cell>
          <cell r="C214" t="str">
            <v>COUNTRY_SOLD_TO2</v>
          </cell>
          <cell r="D214" t="str">
            <v>Country of the sold-to party (TEXT)</v>
          </cell>
        </row>
        <row r="215">
          <cell r="B215" t="str">
            <v>Cust Hier1</v>
          </cell>
          <cell r="C215" t="str">
            <v>CUST_HIER1</v>
          </cell>
          <cell r="D215" t="str">
            <v>Customer hierarchy level 1</v>
          </cell>
          <cell r="E215" t="e">
            <v>#VALUE!</v>
          </cell>
        </row>
        <row r="216">
          <cell r="B216" t="str">
            <v>Cust Hier12</v>
          </cell>
          <cell r="C216" t="str">
            <v>CUST_HIER12</v>
          </cell>
          <cell r="D216" t="str">
            <v>Customer hierarchy level 1 (TEXT)</v>
          </cell>
        </row>
        <row r="217">
          <cell r="B217" t="str">
            <v>Cust Hier2</v>
          </cell>
          <cell r="C217" t="str">
            <v>CUST_HIER2</v>
          </cell>
          <cell r="D217" t="str">
            <v>Customer hierarchy level 2</v>
          </cell>
          <cell r="E217" t="str">
            <v>Second level of the customer hierarchy. Typically represents an intermediate level (e.g. regional subsidiary) within the customer hierarchy.</v>
          </cell>
        </row>
        <row r="218">
          <cell r="B218" t="str">
            <v>Cust Hier22</v>
          </cell>
          <cell r="C218" t="str">
            <v>CUST_HIER22</v>
          </cell>
          <cell r="D218" t="str">
            <v>Customer hierarchy level 2 (TEXT)</v>
          </cell>
        </row>
        <row r="219">
          <cell r="B219" t="str">
            <v>Cust Hier3</v>
          </cell>
          <cell r="C219" t="str">
            <v>CUST_HIER3</v>
          </cell>
          <cell r="D219" t="str">
            <v>Customer hierarchy level 3</v>
          </cell>
          <cell r="E219" t="str">
            <v>Third level of the customer hierarchy. Represents the lowest standard hierarchy level (e.g. individual branch or subsidiary of the customer).</v>
          </cell>
        </row>
        <row r="220">
          <cell r="B220" t="str">
            <v>Cust Hier32</v>
          </cell>
          <cell r="C220" t="str">
            <v>CUST_HIER32</v>
          </cell>
          <cell r="D220" t="str">
            <v>Customer hierarchy level 3 (TEXT)</v>
          </cell>
        </row>
        <row r="221">
          <cell r="B221" t="str">
            <v>Customer Channel</v>
          </cell>
          <cell r="C221" t="str">
            <v>CUSTOMER_CHANNEL</v>
          </cell>
          <cell r="D221" t="str">
            <v>Customer sales channel</v>
          </cell>
          <cell r="E221" t="str">
            <v>An attribute that classifies a customer's sales channel(e.g. direct sales, distributor, e-commerce). Used for segmentation and sales analyses in BW reporting.</v>
          </cell>
        </row>
        <row r="222">
          <cell r="B222" t="str">
            <v>Customer Channel2</v>
          </cell>
          <cell r="C222" t="str">
            <v>CUSTOMER_CHANNEL2</v>
          </cell>
          <cell r="D222" t="str">
            <v>Customer sales channel (TEXT)</v>
          </cell>
        </row>
        <row r="223">
          <cell r="B223" t="str">
            <v>Customer Cluster</v>
          </cell>
          <cell r="C223" t="str">
            <v>CUSTOMER_CLUSTER</v>
          </cell>
          <cell r="D223" t="str">
            <v>Customer cluster</v>
          </cell>
          <cell r="E223" t="str">
            <v>An attribute for grouping customers by strategic or analytical criteria (e.g. size, potential, industry). Used in sales controlling and segmentation analysis.</v>
          </cell>
        </row>
        <row r="224">
          <cell r="B224" t="str">
            <v>Customer Cluster2</v>
          </cell>
          <cell r="C224" t="str">
            <v>CUSTOMER_CLUSTER2</v>
          </cell>
          <cell r="D224" t="str">
            <v>Customer cluster (TEXT)</v>
          </cell>
        </row>
        <row r="225">
          <cell r="B225" t="str">
            <v>Extern. Sales Office</v>
          </cell>
          <cell r="C225" t="str">
            <v>EXTERN__SALES_OFFICE</v>
          </cell>
          <cell r="D225" t="str">
            <v>External sales office code</v>
          </cell>
          <cell r="E225" t="e">
            <v>#VALUE!</v>
          </cell>
        </row>
        <row r="226">
          <cell r="B226" t="str">
            <v>Extern. Sales Office2</v>
          </cell>
          <cell r="C226" t="str">
            <v>EXTERN__SALES_OFFICE2</v>
          </cell>
          <cell r="D226" t="str">
            <v>External sales office code (TEXT)</v>
          </cell>
        </row>
        <row r="227">
          <cell r="B227" t="str">
            <v>Fiscal year/period</v>
          </cell>
          <cell r="C227" t="str">
            <v>FISCAL_YEAR_PERIOD</v>
          </cell>
          <cell r="D227" t="str">
            <v>Fiscal year / period</v>
          </cell>
          <cell r="E227" t="str">
            <v xml:space="preserve">Combination of fiscal year (e.g. 2025) and posting period (e.g. 001–012 for months). Serves as the time dimension in all SAP posting and controlling reports. </v>
          </cell>
        </row>
        <row r="228">
          <cell r="B228" t="str">
            <v>Fiscal year/period2</v>
          </cell>
          <cell r="C228" t="str">
            <v>FISCAL_YEAR_PERIOD2</v>
          </cell>
          <cell r="D228" t="str">
            <v>Fiscal year / period (TEXT)</v>
          </cell>
        </row>
        <row r="229">
          <cell r="B229" t="str">
            <v>Int. Sales Group</v>
          </cell>
          <cell r="C229" t="str">
            <v>INT__SALES_GROUP</v>
          </cell>
          <cell r="D229" t="str">
            <v>Internal sales group</v>
          </cell>
          <cell r="E229" t="str">
            <v xml:space="preserve">An internal sales group is a sub-unit of a sales office. Employees are assigned to sales groups; a group is responsible for all line items in a sales document. </v>
          </cell>
        </row>
        <row r="230">
          <cell r="B230" t="str">
            <v>Int. Sales Group2</v>
          </cell>
          <cell r="C230" t="str">
            <v>INT__SALES_GROUP2</v>
          </cell>
          <cell r="D230" t="str">
            <v>Internal sales group (TEXT)</v>
          </cell>
        </row>
        <row r="231">
          <cell r="B231" t="str">
            <v>Int. Sales office</v>
          </cell>
          <cell r="C231" t="str">
            <v>INT__SALES_OFFICE</v>
          </cell>
          <cell r="D231" t="str">
            <v>Internal sales office</v>
          </cell>
          <cell r="E231" t="str">
            <v>The internal sales office is assigned to one or more sales areas and can be subdivided into several sales groups.</v>
          </cell>
        </row>
        <row r="232">
          <cell r="B232" t="str">
            <v>Int. Sales office2</v>
          </cell>
          <cell r="C232" t="str">
            <v>INT__SALES_OFFICE2</v>
          </cell>
          <cell r="D232" t="str">
            <v>Internal sales office (TEXT)</v>
          </cell>
        </row>
        <row r="233">
          <cell r="B233" t="str">
            <v>Key Industry</v>
          </cell>
          <cell r="C233" t="str">
            <v>KEY_INDUSTRY</v>
          </cell>
          <cell r="D233" t="str">
            <v>Key industry</v>
          </cell>
          <cell r="E233" t="str">
            <v>An attribute that classifies the target industry of a customer or product (e.g. Automotive, Construction, Electronics). Used for market and industry segmentation in sales reporting.</v>
          </cell>
        </row>
        <row r="234">
          <cell r="B234" t="str">
            <v>Key Industry2</v>
          </cell>
          <cell r="C234" t="str">
            <v>KEY_INDUSTRY2</v>
          </cell>
          <cell r="D234" t="str">
            <v>Key industry (TEXT)</v>
          </cell>
        </row>
        <row r="235">
          <cell r="B235" t="str">
            <v>Marketing Customer ship-to</v>
          </cell>
          <cell r="C235" t="str">
            <v>MARKETING_CUSTOMER_SHIP_TO</v>
          </cell>
          <cell r="D235" t="str">
            <v>Marketing customer (ship-to)</v>
          </cell>
          <cell r="E235" t="str">
            <v xml:space="preserve">An attribute in the customer master that assigns the ship-to party to a higher-level marketing customer. </v>
          </cell>
        </row>
        <row r="236">
          <cell r="B236" t="str">
            <v>Marketing Customer ship-to2</v>
          </cell>
          <cell r="C236" t="str">
            <v>MARKETING_CUSTOMER_SHIP_TO2</v>
          </cell>
          <cell r="D236" t="str">
            <v>Marketing customer (ship-to) (TEXT)</v>
          </cell>
        </row>
        <row r="237">
          <cell r="B237" t="str">
            <v>Marketing Customer sold-to</v>
          </cell>
          <cell r="C237" t="str">
            <v>MARKETING_CUSTOMER_SOLD_TO</v>
          </cell>
          <cell r="D237" t="str">
            <v>Marketing customer (sold-to)</v>
          </cell>
          <cell r="E237" t="str">
            <v>An attribute in the customer master that assigns the sold-to party to a higher-level marketing customer.</v>
          </cell>
        </row>
        <row r="238">
          <cell r="B238" t="str">
            <v>Marketing Customer sold-to2</v>
          </cell>
          <cell r="C238" t="str">
            <v>MARKETING_CUSTOMER_SOLD_TO2</v>
          </cell>
          <cell r="D238" t="str">
            <v>Marketing customer (sold-to) (TEXT)</v>
          </cell>
        </row>
        <row r="239">
          <cell r="B239" t="str">
            <v>Marketing Level 0</v>
          </cell>
          <cell r="C239" t="str">
            <v>MARKETING_LEVEL_0</v>
          </cell>
          <cell r="D239" t="str">
            <v>Marketing level 0 (top level)</v>
          </cell>
          <cell r="E239" t="str">
            <v>Highest level of the internal marketing hierarchy. Typically corresponds to the reportable segment (e.g. "Performance Materials" or "Solutions &amp; Specialties"). Serves as the highest aggregation level in product portfolio reporting.</v>
          </cell>
        </row>
        <row r="240">
          <cell r="B240" t="str">
            <v>Marketing Level 02</v>
          </cell>
          <cell r="C240" t="str">
            <v>MARKETING_LEVEL_02</v>
          </cell>
          <cell r="D240" t="str">
            <v>Marketing level 0 (top level) (TEXT)</v>
          </cell>
        </row>
        <row r="241">
          <cell r="B241" t="str">
            <v>Marketing Level 1</v>
          </cell>
          <cell r="C241" t="str">
            <v>MARKETING_LEVEL_1</v>
          </cell>
          <cell r="D241" t="str">
            <v>Marketing level 1</v>
          </cell>
          <cell r="E241" t="str">
            <v>Second level of the internal marketing hierarchy. Subdivides the reportable segment into strategic product groups or business entities.</v>
          </cell>
        </row>
        <row r="242">
          <cell r="B242" t="str">
            <v>Marketing Level 12</v>
          </cell>
          <cell r="C242" t="str">
            <v>MARKETING_LEVEL_12</v>
          </cell>
          <cell r="D242" t="str">
            <v>Marketing level 1 (TEXT)</v>
          </cell>
        </row>
        <row r="243">
          <cell r="B243" t="str">
            <v>Marketing Level 2</v>
          </cell>
          <cell r="C243" t="str">
            <v>MARKETING_LEVEL_2</v>
          </cell>
          <cell r="D243" t="str">
            <v>Marketing level 2</v>
          </cell>
          <cell r="E243" t="str">
            <v>Third level of the internal marketing hierarchy. Represents a further subdivision of Marketing Level 1 groups, e.g. by product lines or application areas.</v>
          </cell>
        </row>
        <row r="244">
          <cell r="B244" t="str">
            <v>Marketing Level 22</v>
          </cell>
          <cell r="C244" t="str">
            <v>MARKETING_LEVEL_22</v>
          </cell>
          <cell r="D244" t="str">
            <v>Marketing level 2 (TEXT)</v>
          </cell>
        </row>
        <row r="245">
          <cell r="B245" t="str">
            <v>Marketing Level 3</v>
          </cell>
          <cell r="C245" t="str">
            <v>MARKETING_LEVEL_3</v>
          </cell>
          <cell r="D245" t="str">
            <v>Marketing level 3</v>
          </cell>
          <cell r="E245" t="str">
            <v>Fourth level of the internal marketing hierarchy. Further detail breakdown below Marketing Level 2, e.g. by product types or market segments.</v>
          </cell>
        </row>
        <row r="246">
          <cell r="B246" t="str">
            <v>Marketing Level 32</v>
          </cell>
          <cell r="C246" t="str">
            <v>MARKETING_LEVEL_32</v>
          </cell>
          <cell r="D246" t="str">
            <v>Marketing level 3 (TEXT)</v>
          </cell>
        </row>
        <row r="247">
          <cell r="B247" t="str">
            <v>Marketing Level 4</v>
          </cell>
          <cell r="C247" t="str">
            <v>MARKETING_LEVEL_4</v>
          </cell>
          <cell r="D247" t="str">
            <v>Marketing level 4 (lowest level)</v>
          </cell>
          <cell r="E247" t="str">
            <v>Lowest level of the internal marketing hierarchy. Represents the most granular classification in the marketing product tree, e.g. individual product grades or specifications.</v>
          </cell>
        </row>
        <row r="248">
          <cell r="B248" t="str">
            <v>Marketing Level 42</v>
          </cell>
          <cell r="C248" t="str">
            <v>MARKETING_LEVEL_42</v>
          </cell>
          <cell r="D248" t="str">
            <v>Marketing level 4 (lowest level) (TEXT)</v>
          </cell>
        </row>
        <row r="249">
          <cell r="B249" t="str">
            <v>Material</v>
          </cell>
          <cell r="C249" t="str">
            <v>MATERIAL</v>
          </cell>
          <cell r="D249" t="str">
            <v>Material number</v>
          </cell>
          <cell r="E249" t="str">
            <v xml:space="preserve">The unique alphanumeric identifier of a material (product, raw material, semi-finished good) in the SAP system. Central master data object to which all logistical and accounting transactions are assigned. </v>
          </cell>
        </row>
        <row r="250">
          <cell r="B250" t="str">
            <v>Material2</v>
          </cell>
          <cell r="C250" t="str">
            <v>MATERIAL2</v>
          </cell>
          <cell r="D250" t="str">
            <v>Material number (TEXT)</v>
          </cell>
        </row>
        <row r="251">
          <cell r="B251" t="str">
            <v>PH3 Cluster</v>
          </cell>
          <cell r="C251" t="str">
            <v>PH3_CLUSTER</v>
          </cell>
          <cell r="D251" t="str">
            <v>Product hierarchy level 3 cluster</v>
          </cell>
          <cell r="E251" t="str">
            <v>A grouping based on the third product hierarchy level (PH3). Aggregates product groups into strategic clusters used for sales and planning analyses. Example cluster: ACR for acrylate product groups.</v>
          </cell>
        </row>
        <row r="252">
          <cell r="B252" t="str">
            <v>PH3 Cluster2</v>
          </cell>
          <cell r="C252" t="str">
            <v>PH3_CLUSTER2</v>
          </cell>
          <cell r="D252" t="str">
            <v>Product hierarchy level 3 cluster (TEXT)</v>
          </cell>
        </row>
        <row r="253">
          <cell r="B253" t="str">
            <v>Plant</v>
          </cell>
          <cell r="C253" t="str">
            <v>PLANT</v>
          </cell>
          <cell r="D253" t="str">
            <v>Plant</v>
          </cell>
          <cell r="E253" t="str">
            <v xml:space="preserve">A plant is an organizational unit within logistics that represents the location of a production facility, storage location or service provision. All material stocks, production orders and deliveries are assigned to a plant. </v>
          </cell>
        </row>
        <row r="254">
          <cell r="B254" t="str">
            <v>Plant2</v>
          </cell>
          <cell r="C254" t="str">
            <v>PLANT2</v>
          </cell>
          <cell r="D254" t="str">
            <v>Plant (TEXT)</v>
          </cell>
        </row>
        <row r="255">
          <cell r="B255" t="str">
            <v>Posting date</v>
          </cell>
          <cell r="C255" t="str">
            <v>POSTING_DATE</v>
          </cell>
          <cell r="D255" t="str">
            <v>Posting date</v>
          </cell>
          <cell r="E255" t="str">
            <v xml:space="preserve">The date on which an accounting document is posted in the system. Determines the assignment to the posting period and fiscal year. May differ from the document date (invoice date). </v>
          </cell>
        </row>
        <row r="256">
          <cell r="B256" t="str">
            <v>Prod.Hier.1</v>
          </cell>
          <cell r="C256" t="str">
            <v>PROD_HIER_1</v>
          </cell>
          <cell r="D256" t="str">
            <v>Product hierarchy level 1</v>
          </cell>
          <cell r="E256" t="str">
            <v>First (highest) level of the product hierarchy used for high-level product grouping. An alphanumeric character string that groups materials by overarching characteristics (e.g. product division).</v>
          </cell>
        </row>
        <row r="257">
          <cell r="B257" t="str">
            <v>Prod.Hier.12</v>
          </cell>
          <cell r="C257" t="str">
            <v>PROD_HIER_12</v>
          </cell>
          <cell r="D257" t="str">
            <v>Product hierarchy level 1 (TEXT)</v>
          </cell>
        </row>
        <row r="258">
          <cell r="B258" t="str">
            <v>Prod.Hier.2</v>
          </cell>
          <cell r="C258" t="str">
            <v>PROD_HIER_2</v>
          </cell>
          <cell r="D258" t="str">
            <v>Product hierarchy level 2</v>
          </cell>
          <cell r="E258" t="str">
            <v xml:space="preserve">Second level of the product hierarchy. Subdivides the first level into product categories. </v>
          </cell>
        </row>
        <row r="259">
          <cell r="B259" t="str">
            <v>Prod.Hier.22</v>
          </cell>
          <cell r="C259" t="str">
            <v>PROD_HIER_22</v>
          </cell>
          <cell r="D259" t="str">
            <v>Product hierarchy level 2 (TEXT)</v>
          </cell>
        </row>
        <row r="260">
          <cell r="B260" t="str">
            <v>Prod.Hier.3</v>
          </cell>
          <cell r="C260" t="str">
            <v>PROD_HIER_3</v>
          </cell>
          <cell r="D260" t="str">
            <v>Product hierarchy level 3</v>
          </cell>
          <cell r="E260" t="str">
            <v xml:space="preserve">Third level of the  product hierarchy. Represents the product subcategory or product type. </v>
          </cell>
        </row>
        <row r="261">
          <cell r="B261" t="str">
            <v>Prod.Hier.32</v>
          </cell>
          <cell r="C261" t="str">
            <v>PROD_HIER_32</v>
          </cell>
          <cell r="D261" t="str">
            <v>Product hierarchy level 3 (TEXT)</v>
          </cell>
        </row>
        <row r="262">
          <cell r="B262" t="str">
            <v>Prod.Hier.4</v>
          </cell>
          <cell r="C262" t="str">
            <v>PROD_HIER_4</v>
          </cell>
          <cell r="D262" t="str">
            <v>Product hierarchy level 4</v>
          </cell>
          <cell r="E262" t="str">
            <v>Fourth level of the product hierarchy used for more detailed product classifications.</v>
          </cell>
        </row>
        <row r="263">
          <cell r="B263" t="str">
            <v>Prod.Hier.42</v>
          </cell>
          <cell r="C263" t="str">
            <v>PROD_HIER_42</v>
          </cell>
          <cell r="D263" t="str">
            <v>Product hierarchy level 4 (TEXT)</v>
          </cell>
        </row>
        <row r="264">
          <cell r="B264" t="str">
            <v>Prod.Hier.5</v>
          </cell>
          <cell r="C264" t="str">
            <v>PROD_HIER_5</v>
          </cell>
          <cell r="D264" t="str">
            <v>Product hierarchy level 5</v>
          </cell>
          <cell r="E264" t="str">
            <v>Fifth level of the product hierarchy used for more granular product group analyses (not used anymore)</v>
          </cell>
        </row>
        <row r="265">
          <cell r="B265" t="str">
            <v>Prod.Hier.52</v>
          </cell>
          <cell r="C265" t="str">
            <v>PROD_HIER_52</v>
          </cell>
          <cell r="D265" t="str">
            <v>Product hierarchy level 5 (TEXT)</v>
          </cell>
        </row>
        <row r="266">
          <cell r="B266" t="str">
            <v>Prod.Hier.6</v>
          </cell>
          <cell r="C266" t="str">
            <v>PROD_HIER_6</v>
          </cell>
          <cell r="D266" t="str">
            <v>Product hierarchy level 6</v>
          </cell>
          <cell r="E266" t="str">
            <v>Sixth and lowest level of the product hierarchy at individual product or grade level for detailed product reporting. (not used anymore)</v>
          </cell>
        </row>
        <row r="267">
          <cell r="B267" t="str">
            <v>Prod.Hier.62</v>
          </cell>
          <cell r="C267" t="str">
            <v>PROD_HIER_62</v>
          </cell>
          <cell r="D267" t="str">
            <v>Product hierarchy level 6 (TEXT)</v>
          </cell>
        </row>
        <row r="268">
          <cell r="B268" t="str">
            <v>Produced Material</v>
          </cell>
          <cell r="C268" t="str">
            <v>PRODUCED_MATERIAL</v>
          </cell>
          <cell r="D268" t="str">
            <v>Produced material</v>
          </cell>
          <cell r="E268" t="e">
            <v>#VALUE!</v>
          </cell>
        </row>
        <row r="269">
          <cell r="B269" t="str">
            <v>Produced Material2</v>
          </cell>
          <cell r="C269" t="str">
            <v>PRODUCED_MATERIAL2</v>
          </cell>
          <cell r="D269" t="str">
            <v>Produced material (TEXT)</v>
          </cell>
        </row>
        <row r="270">
          <cell r="B270" t="str">
            <v>Region ship-to</v>
          </cell>
          <cell r="C270" t="str">
            <v>REGION_SHIP_TO</v>
          </cell>
          <cell r="D270" t="str">
            <v>Region of the ship-to party</v>
          </cell>
          <cell r="E270" t="str">
            <v>The geographic region (e.g. state, province) of the ship-to party. Derived from the customer address master and used for regional sales analyses.</v>
          </cell>
        </row>
        <row r="271">
          <cell r="B271" t="str">
            <v>Region ship-to2</v>
          </cell>
          <cell r="C271" t="str">
            <v>REGION_SHIP_TO2</v>
          </cell>
          <cell r="D271" t="str">
            <v>Region of the ship-to party (TEXT)</v>
          </cell>
        </row>
        <row r="272">
          <cell r="B272" t="str">
            <v>Region sold-to</v>
          </cell>
          <cell r="C272" t="str">
            <v>REGION_SOLD_TO</v>
          </cell>
          <cell r="D272" t="str">
            <v>Region of the sold-to party</v>
          </cell>
          <cell r="E272" t="str">
            <v>The geographic region of the sold-to party. Derived from the customer address master and used for regional sales analyses.</v>
          </cell>
        </row>
        <row r="273">
          <cell r="B273" t="str">
            <v>Region sold-to2</v>
          </cell>
          <cell r="C273" t="str">
            <v>REGION_SOLD_TO2</v>
          </cell>
          <cell r="D273" t="str">
            <v>Region of the sold-to party (TEXT)</v>
          </cell>
        </row>
        <row r="274">
          <cell r="B274" t="str">
            <v>Reporting Unit, book</v>
          </cell>
          <cell r="C274" t="str">
            <v>REPORTING_UNIT__BOOK</v>
          </cell>
          <cell r="D274" t="str">
            <v>Reporting unit (booked)</v>
          </cell>
          <cell r="E274" t="e">
            <v>#VALUE!</v>
          </cell>
        </row>
        <row r="275">
          <cell r="B275" t="str">
            <v>Reporting Unit, book2</v>
          </cell>
          <cell r="C275" t="str">
            <v>REPORTING_UNIT__BOOK2</v>
          </cell>
          <cell r="D275" t="str">
            <v>Reporting unit (booked) (TEXT)</v>
          </cell>
        </row>
        <row r="276">
          <cell r="B276" t="str">
            <v>SBE</v>
          </cell>
          <cell r="C276" t="str">
            <v>SBE</v>
          </cell>
          <cell r="D276" t="str">
            <v>Strategic Business Entity</v>
          </cell>
          <cell r="E276" t="e">
            <v>#VALUE!</v>
          </cell>
        </row>
        <row r="277">
          <cell r="B277" t="str">
            <v>SBE2</v>
          </cell>
          <cell r="C277" t="str">
            <v>SBE2</v>
          </cell>
          <cell r="D277" t="str">
            <v>Strategic Business Entity (TEXT)</v>
          </cell>
        </row>
        <row r="278">
          <cell r="B278" t="str">
            <v>Sales Organization</v>
          </cell>
          <cell r="C278" t="str">
            <v>SALES_ORGANIZATION</v>
          </cell>
          <cell r="D278" t="str">
            <v>Sales organization</v>
          </cell>
          <cell r="E278" t="e">
            <v>#VALUE!</v>
          </cell>
        </row>
        <row r="279">
          <cell r="B279" t="str">
            <v>Sales Organization2</v>
          </cell>
          <cell r="C279" t="str">
            <v>SALES_ORGANIZATION2</v>
          </cell>
          <cell r="D279" t="str">
            <v>Sales organization (TEXT)</v>
          </cell>
        </row>
        <row r="280">
          <cell r="B280" t="str">
            <v>Ship-to</v>
          </cell>
          <cell r="C280" t="str">
            <v>SHIP_TO</v>
          </cell>
          <cell r="D280" t="str">
            <v>Ship-to party</v>
          </cell>
          <cell r="E280" t="str">
            <v xml:space="preserve">The partner to whom goods are physically delivered (partner function SH). May differ from the sold-to party. Delivery address, shipping conditions and goods recipient data are taken from the customer master. </v>
          </cell>
        </row>
        <row r="281">
          <cell r="B281" t="str">
            <v>Ship-to2</v>
          </cell>
          <cell r="C281" t="str">
            <v>SHIP_TO2</v>
          </cell>
          <cell r="D281" t="str">
            <v>Ship-to party (TEXT)</v>
          </cell>
        </row>
        <row r="282">
          <cell r="B282" t="str">
            <v>ShipTo State/ Province</v>
          </cell>
          <cell r="C282" t="str">
            <v>SHIPTO_STATE__PROVINCE</v>
          </cell>
          <cell r="D282" t="str">
            <v>State / province of the ship-to party</v>
          </cell>
          <cell r="E282" t="str">
            <v>The state or province of the ship-to party from the address master. Relevant for tax assignments (e.g. US sales tax) and regional analyses.</v>
          </cell>
        </row>
        <row r="283">
          <cell r="B283" t="str">
            <v>ShipTo State/ Province2</v>
          </cell>
          <cell r="C283" t="str">
            <v>SHIPTO_STATE__PROVINCE2</v>
          </cell>
          <cell r="D283" t="str">
            <v>State / province of the ship-to party (TEXT)</v>
          </cell>
        </row>
        <row r="284">
          <cell r="B284" t="str">
            <v>Sold-to</v>
          </cell>
          <cell r="C284" t="str">
            <v>SOLD_TO</v>
          </cell>
          <cell r="D284" t="str">
            <v>Sold-to party</v>
          </cell>
          <cell r="E284" t="str">
            <v>The customer who places the order (partner function SP). Central business partner in the order-to-cash process. Pricing conditions, payment terms and customer hierarchies are derived from the sold-to party.</v>
          </cell>
        </row>
        <row r="285">
          <cell r="B285" t="str">
            <v>Sold-to2</v>
          </cell>
          <cell r="C285" t="str">
            <v>SOLD_TO2</v>
          </cell>
          <cell r="D285" t="str">
            <v>Sold-to party (TEXT)</v>
          </cell>
        </row>
        <row r="286">
          <cell r="B286" t="str">
            <v>SoldTo State/ Province</v>
          </cell>
          <cell r="C286" t="str">
            <v>SOLDTO_STATE__PROVINCE</v>
          </cell>
          <cell r="D286" t="str">
            <v>State / province of the sold-to party</v>
          </cell>
          <cell r="E286" t="str">
            <v>The state or province of the sold-to party from the address master. Relevant for tax and regional analyses.</v>
          </cell>
        </row>
        <row r="287">
          <cell r="B287" t="str">
            <v>SoldTo State/ Province2</v>
          </cell>
          <cell r="C287" t="str">
            <v>SOLDTO_STATE__PROVINCE2</v>
          </cell>
          <cell r="D287" t="str">
            <v>State / province of the sold-to party (TEXT)</v>
          </cell>
        </row>
        <row r="288">
          <cell r="B288" t="str">
            <v>Subregion ship-to</v>
          </cell>
          <cell r="C288" t="str">
            <v>SUBREGION_SHIP_TO</v>
          </cell>
          <cell r="D288" t="str">
            <v>Subregion of the ship-to party</v>
          </cell>
          <cell r="E288" t="str">
            <v>An attribute that assigns the ship-to party to a geographic subregion below the main region (e.g. Eastern Europe as a subregion of Europe). Used for detailed geographic sales analyses.</v>
          </cell>
        </row>
        <row r="289">
          <cell r="B289" t="str">
            <v>Subregion ship-to2</v>
          </cell>
          <cell r="C289" t="str">
            <v>SUBREGION_SHIP_TO2</v>
          </cell>
          <cell r="D289" t="str">
            <v>Subregion of the ship-to party (TEXT)</v>
          </cell>
        </row>
        <row r="290">
          <cell r="B290" t="str">
            <v>Subregion sold-to</v>
          </cell>
          <cell r="C290" t="str">
            <v>SUBREGION_SOLD_TO</v>
          </cell>
          <cell r="D290" t="str">
            <v>Subregion of the sold-to party</v>
          </cell>
          <cell r="E290" t="str">
            <v>An attribute that assigns the sold-to party to a geographic subregion. Analogous to Subregion ship-to, but referring to the sold-to party.</v>
          </cell>
        </row>
        <row r="291">
          <cell r="B291" t="str">
            <v>Subregion sold-to2</v>
          </cell>
          <cell r="C291" t="str">
            <v>SUBREGION_SOLD_TO2</v>
          </cell>
          <cell r="D291" t="str">
            <v>Subregion of the sold-to party (TEXT)</v>
          </cell>
        </row>
        <row r="292">
          <cell r="B292" t="str">
            <v>Unpacked good</v>
          </cell>
          <cell r="C292" t="str">
            <v>UNPACKED_GOOD</v>
          </cell>
          <cell r="D292" t="str">
            <v>Unpacked goods</v>
          </cell>
          <cell r="E292" t="str">
            <v>Indicator or description of whether delivered goods are transported unpackaged (e.g. as bulk goods or in tank trucks). Relevant for packaging classification, hazardous goods handling and sustainability reporting.</v>
          </cell>
        </row>
        <row r="293">
          <cell r="B293" t="str">
            <v>Unpacked good2</v>
          </cell>
          <cell r="C293" t="str">
            <v>UNPACKED_GOOD2</v>
          </cell>
          <cell r="D293" t="str">
            <v>Unpacked goods (TEXT)</v>
          </cell>
        </row>
        <row r="294">
          <cell r="B294" t="str">
            <v>KPI COPA: Gross Sales Qty</v>
          </cell>
          <cell r="C294" t="str">
            <v>KPI_COPA__GROSS_SALES_QTY</v>
          </cell>
          <cell r="D294" t="str">
            <v>Gross sales quantity (CO-PA)</v>
          </cell>
          <cell r="E294" t="str">
            <v>The total invoiced quantity (in KG) before deduction of credit memos and returns, as recorded in SAP Profitability Analysis (CO-PA). Starting figure of the CO-PA revenue calculation.</v>
          </cell>
        </row>
        <row r="295">
          <cell r="B295" t="str">
            <v>KPI COPA: Gross sales</v>
          </cell>
          <cell r="C295" t="str">
            <v>KPI_COPA__GROSS_SALES</v>
          </cell>
          <cell r="D295" t="str">
            <v>Gross sales (CO-PA)</v>
          </cell>
          <cell r="E295" t="str">
            <v>The total invoiced revenue (gross revenues) before deduction of discounts, bonuses and other revenue deductions, recorded in CO-PA. Starting point of the revenue calculation in the contribution margin scheme.</v>
          </cell>
        </row>
        <row r="296">
          <cell r="B296" t="str">
            <v>KPI COPA: Net proceeds</v>
          </cell>
          <cell r="C296" t="str">
            <v>KPI_COPA__NET_PROCEEDS</v>
          </cell>
          <cell r="D296" t="str">
            <v>Net proceeds (CO-PA)</v>
          </cell>
          <cell r="E296" t="str">
            <v>Net Sales less sales adjustments, represents revenue after application of sales deductions and sales adjustments within CO-PA reporting.</v>
          </cell>
        </row>
        <row r="297">
          <cell r="B297" t="str">
            <v>KPI COPA: Net sales</v>
          </cell>
          <cell r="C297" t="str">
            <v>KPI_COPA__NET_SALES</v>
          </cell>
          <cell r="D297" t="str">
            <v>Net sales (CO-PA)</v>
          </cell>
          <cell r="E297" t="str">
            <v xml:space="preserve">Gross Sales less sales deductions. </v>
          </cell>
        </row>
        <row r="298">
          <cell r="B298" t="str">
            <v>KPI COPA: Sales adjustments</v>
          </cell>
          <cell r="C298" t="str">
            <v>KPI_COPA__SALES_ADJUSTMENTS</v>
          </cell>
          <cell r="D298" t="str">
            <v>Sales adjustments (CO-PA)</v>
          </cell>
          <cell r="E298" t="str">
            <v>Correction postings to revenue in CO-PA, e.g. quantity corrections, price corrections of retrospectively posted conditions or periodic revaluations. Reported between Net Proceeds and Net Sales.</v>
          </cell>
        </row>
        <row r="299">
          <cell r="B299" t="str">
            <v>KPI COPA: Sales deductions</v>
          </cell>
          <cell r="C299" t="str">
            <v>KPI_COPA__SALES_DEDUCTIONS</v>
          </cell>
          <cell r="D299" t="str">
            <v>Sales deductions (CO-PA)</v>
          </cell>
          <cell r="E299" t="str">
            <v xml:space="preserve">All deductions from gross sales in CO-PA, e.g. customer discounts, volume discounts, bonuses, cash discounts and commissions. </v>
          </cell>
        </row>
        <row r="300">
          <cell r="B300" t="str">
            <v>BG, booked</v>
          </cell>
          <cell r="C300" t="str">
            <v>BG__BOOKED</v>
          </cell>
          <cell r="D300" t="str">
            <v>Booked business group</v>
          </cell>
          <cell r="E300" t="str">
            <v>Indicator for the booked business group (BG) of a document. Used in profitability analysis (CO-PA) and reporting to delimit booking units within a company code.</v>
          </cell>
        </row>
        <row r="301">
          <cell r="B301" t="str">
            <v>BG, booked2</v>
          </cell>
          <cell r="C301" t="str">
            <v>BG__BOOKED2</v>
          </cell>
          <cell r="D301" t="str">
            <v>Booked business group (TEXT)</v>
          </cell>
        </row>
        <row r="302">
          <cell r="B302" t="str">
            <v>Calendar Day</v>
          </cell>
          <cell r="C302" t="str">
            <v>CALENDAR_DAY</v>
          </cell>
          <cell r="D302" t="str">
            <v>Calendar day</v>
          </cell>
          <cell r="E302" t="str">
            <v>A single calendar day, used as a characteristic/dimension in time-series reports. Serves for day-level aggregation or selection of data, e.g. in delivery performance or accounts receivable reporting.</v>
          </cell>
        </row>
        <row r="303">
          <cell r="B303" t="str">
            <v>Company Code</v>
          </cell>
          <cell r="C303" t="str">
            <v>COMPANY_CODE</v>
          </cell>
          <cell r="D303" t="str">
            <v>Company code</v>
          </cell>
          <cell r="E303" t="e">
            <v>#VALUE!</v>
          </cell>
        </row>
        <row r="304">
          <cell r="B304" t="str">
            <v>Company Code2</v>
          </cell>
          <cell r="C304" t="str">
            <v>COMPANY_CODE2</v>
          </cell>
          <cell r="D304" t="str">
            <v>Company code (TEXT)</v>
          </cell>
        </row>
        <row r="305">
          <cell r="B305" t="str">
            <v>Core Business Indicator</v>
          </cell>
          <cell r="C305" t="str">
            <v>CORE_BUSINESS_INDICATOR</v>
          </cell>
          <cell r="D305" t="str">
            <v>Core business indicator</v>
          </cell>
          <cell r="E305" t="e">
            <v>#VALUE!</v>
          </cell>
        </row>
        <row r="306">
          <cell r="B306" t="str">
            <v>Core Business Indicator2</v>
          </cell>
          <cell r="C306" t="str">
            <v>CORE_BUSINESS_INDICATOR2</v>
          </cell>
          <cell r="D306" t="str">
            <v>Core business indicator (TEXT)</v>
          </cell>
        </row>
        <row r="307">
          <cell r="B307" t="str">
            <v>Country ship-to</v>
          </cell>
          <cell r="C307" t="str">
            <v>COUNTRY_SHIP_TO</v>
          </cell>
          <cell r="D307" t="str">
            <v>Country of the ship-to party</v>
          </cell>
          <cell r="E307" t="str">
            <v>The country of the ship-to partner (goods recipient) from the customer master. Used for geographic analyses, foreign trade statistics and export controls. Part of the customer attributes in SAP S/4HANA (Ship-to Country).</v>
          </cell>
        </row>
        <row r="308">
          <cell r="B308" t="str">
            <v>Country ship-to2</v>
          </cell>
          <cell r="C308" t="str">
            <v>COUNTRY_SHIP_TO2</v>
          </cell>
          <cell r="D308" t="str">
            <v>Country of the ship-to party (TEXT)</v>
          </cell>
        </row>
        <row r="309">
          <cell r="B309" t="str">
            <v>Country sold-to</v>
          </cell>
          <cell r="C309" t="str">
            <v>COUNTRY_SOLD_TO</v>
          </cell>
          <cell r="D309" t="str">
            <v>Country of the sold-to party</v>
          </cell>
          <cell r="E309" t="str">
            <v>The country of the sold-to partner (ordering customer) from the customer master. Used for geographic sales analyses. Part of the customer attributes in SAP S/4HANA (Sold-to Country).</v>
          </cell>
        </row>
        <row r="310">
          <cell r="B310" t="str">
            <v>Country sold-to2</v>
          </cell>
          <cell r="C310" t="str">
            <v>COUNTRY_SOLD_TO2</v>
          </cell>
          <cell r="D310" t="str">
            <v>Country of the sold-to party (TEXT)</v>
          </cell>
        </row>
        <row r="311">
          <cell r="B311" t="str">
            <v>Cust Hier1</v>
          </cell>
          <cell r="C311" t="str">
            <v>CUST_HIER1</v>
          </cell>
          <cell r="D311" t="str">
            <v>Customer hierarchy level 1</v>
          </cell>
          <cell r="E311" t="e">
            <v>#VALUE!</v>
          </cell>
        </row>
        <row r="312">
          <cell r="B312" t="str">
            <v>Cust Hier12</v>
          </cell>
          <cell r="C312" t="str">
            <v>CUST_HIER12</v>
          </cell>
          <cell r="D312" t="str">
            <v>Customer hierarchy level 1 (TEXT)</v>
          </cell>
        </row>
        <row r="313">
          <cell r="B313" t="str">
            <v>Cust Hier2</v>
          </cell>
          <cell r="C313" t="str">
            <v>CUST_HIER2</v>
          </cell>
          <cell r="D313" t="str">
            <v>Customer hierarchy level 2</v>
          </cell>
          <cell r="E313" t="str">
            <v>Second level of the customer hierarchy. Typically represents an intermediate level (e.g. regional subsidiary) within the customer hierarchy.</v>
          </cell>
        </row>
        <row r="314">
          <cell r="B314" t="str">
            <v>Cust Hier22</v>
          </cell>
          <cell r="C314" t="str">
            <v>CUST_HIER22</v>
          </cell>
          <cell r="D314" t="str">
            <v>Customer hierarchy level 2 (TEXT)</v>
          </cell>
        </row>
        <row r="315">
          <cell r="B315" t="str">
            <v>Cust Hier3</v>
          </cell>
          <cell r="C315" t="str">
            <v>CUST_HIER3</v>
          </cell>
          <cell r="D315" t="str">
            <v>Customer hierarchy level 3</v>
          </cell>
          <cell r="E315" t="str">
            <v>Third level of the customer hierarchy. Represents the lowest standard hierarchy level (e.g. individual branch or subsidiary of the customer).</v>
          </cell>
        </row>
        <row r="316">
          <cell r="B316" t="str">
            <v>Cust Hier32</v>
          </cell>
          <cell r="C316" t="str">
            <v>CUST_HIER32</v>
          </cell>
          <cell r="D316" t="str">
            <v>Customer hierarchy level 3 (TEXT)</v>
          </cell>
        </row>
        <row r="317">
          <cell r="B317" t="str">
            <v>Customer Channel</v>
          </cell>
          <cell r="C317" t="str">
            <v>CUSTOMER_CHANNEL</v>
          </cell>
          <cell r="D317" t="str">
            <v>Customer sales channel</v>
          </cell>
          <cell r="E317" t="str">
            <v>An attribute that classifies a customer's sales channel(e.g. direct sales, distributor, e-commerce). Used for segmentation and sales analyses in BW reporting.</v>
          </cell>
        </row>
        <row r="318">
          <cell r="B318" t="str">
            <v>Customer Channel2</v>
          </cell>
          <cell r="C318" t="str">
            <v>CUSTOMER_CHANNEL2</v>
          </cell>
          <cell r="D318" t="str">
            <v>Customer sales channel (TEXT)</v>
          </cell>
        </row>
        <row r="319">
          <cell r="B319" t="str">
            <v>Customer Cluster</v>
          </cell>
          <cell r="C319" t="str">
            <v>CUSTOMER_CLUSTER</v>
          </cell>
          <cell r="D319" t="str">
            <v>Customer cluster</v>
          </cell>
          <cell r="E319" t="str">
            <v>An attribute for grouping customers by strategic or analytical criteria (e.g. size, potential, industry). Used in sales controlling and segmentation analysis.</v>
          </cell>
        </row>
        <row r="320">
          <cell r="B320" t="str">
            <v>Customer Cluster2</v>
          </cell>
          <cell r="C320" t="str">
            <v>CUSTOMER_CLUSTER2</v>
          </cell>
          <cell r="D320" t="str">
            <v>Customer cluster (TEXT)</v>
          </cell>
        </row>
        <row r="321">
          <cell r="B321" t="str">
            <v>Exchange rate effect</v>
          </cell>
          <cell r="C321" t="str">
            <v>EXCHANGE_RATE_EFFECT</v>
          </cell>
          <cell r="D321" t="str">
            <v>Exchange rate effect</v>
          </cell>
          <cell r="E321" t="e">
            <v>#VALUE!</v>
          </cell>
        </row>
        <row r="322">
          <cell r="B322" t="str">
            <v>Extern. Sales Office</v>
          </cell>
          <cell r="C322" t="str">
            <v>EXTERN__SALES_OFFICE</v>
          </cell>
          <cell r="D322" t="str">
            <v>External sales office code</v>
          </cell>
          <cell r="E322" t="e">
            <v>#VALUE!</v>
          </cell>
        </row>
        <row r="323">
          <cell r="B323" t="str">
            <v>Extern. Sales Office2</v>
          </cell>
          <cell r="C323" t="str">
            <v>EXTERN__SALES_OFFICE2</v>
          </cell>
          <cell r="D323" t="str">
            <v>External sales office code (TEXT)</v>
          </cell>
        </row>
        <row r="324">
          <cell r="B324" t="str">
            <v>Fiscal year/period</v>
          </cell>
          <cell r="C324" t="str">
            <v>FISCAL_YEAR_PERIOD</v>
          </cell>
          <cell r="D324" t="str">
            <v>Fiscal year / period</v>
          </cell>
          <cell r="E324" t="str">
            <v xml:space="preserve">Combination of fiscal year (e.g. 2025) and posting period (e.g. 001–012 for months). Serves as the time dimension in all SAP posting and controlling reports. </v>
          </cell>
        </row>
        <row r="325">
          <cell r="B325" t="str">
            <v>Fiscal year/period2</v>
          </cell>
          <cell r="C325" t="str">
            <v>FISCAL_YEAR_PERIOD2</v>
          </cell>
          <cell r="D325" t="str">
            <v>Fiscal year / period (TEXT)</v>
          </cell>
        </row>
        <row r="326">
          <cell r="B326" t="str">
            <v>Int. Sales Group</v>
          </cell>
          <cell r="C326" t="str">
            <v>INT__SALES_GROUP</v>
          </cell>
          <cell r="D326" t="str">
            <v>Internal sales group</v>
          </cell>
          <cell r="E326" t="str">
            <v xml:space="preserve">An internal sales group is a sub-unit of a sales office. Employees are assigned to sales groups; a group is responsible for all line items in a sales document. </v>
          </cell>
        </row>
        <row r="327">
          <cell r="B327" t="str">
            <v>Int. Sales Group2</v>
          </cell>
          <cell r="C327" t="str">
            <v>INT__SALES_GROUP2</v>
          </cell>
          <cell r="D327" t="str">
            <v>Internal sales group (TEXT)</v>
          </cell>
        </row>
        <row r="328">
          <cell r="B328" t="str">
            <v>Int. Sales office</v>
          </cell>
          <cell r="C328" t="str">
            <v>INT__SALES_OFFICE</v>
          </cell>
          <cell r="D328" t="str">
            <v>Internal sales office</v>
          </cell>
          <cell r="E328" t="str">
            <v>The internal sales office is assigned to one or more sales areas and can be subdivided into several sales groups.</v>
          </cell>
        </row>
        <row r="329">
          <cell r="B329" t="str">
            <v>Int. Sales office2</v>
          </cell>
          <cell r="C329" t="str">
            <v>INT__SALES_OFFICE2</v>
          </cell>
          <cell r="D329" t="str">
            <v>Internal sales office (TEXT)</v>
          </cell>
        </row>
        <row r="330">
          <cell r="B330" t="str">
            <v>Key Industry</v>
          </cell>
          <cell r="C330" t="str">
            <v>KEY_INDUSTRY</v>
          </cell>
          <cell r="D330" t="str">
            <v>Key industry</v>
          </cell>
          <cell r="E330" t="str">
            <v>An attribute that classifies the target industry of a customer or product (e.g. Automotive, Construction, Electronics). Used for market and industry segmentation in sales reporting.</v>
          </cell>
        </row>
        <row r="331">
          <cell r="B331" t="str">
            <v>Key Industry2</v>
          </cell>
          <cell r="C331" t="str">
            <v>KEY_INDUSTRY2</v>
          </cell>
          <cell r="D331" t="str">
            <v>Key industry (TEXT)</v>
          </cell>
        </row>
        <row r="332">
          <cell r="B332" t="str">
            <v>Marketing Customer ship-to</v>
          </cell>
          <cell r="C332" t="str">
            <v>MARKETING_CUSTOMER_SHIP_TO</v>
          </cell>
          <cell r="D332" t="str">
            <v>Marketing customer (ship-to)</v>
          </cell>
          <cell r="E332" t="str">
            <v xml:space="preserve">An attribute in the customer master that assigns the ship-to party to a higher-level marketing customer. </v>
          </cell>
        </row>
        <row r="333">
          <cell r="B333" t="str">
            <v>Marketing Customer ship-to2</v>
          </cell>
          <cell r="C333" t="str">
            <v>MARKETING_CUSTOMER_SHIP_TO2</v>
          </cell>
          <cell r="D333" t="str">
            <v>Marketing customer (ship-to) (TEXT)</v>
          </cell>
        </row>
        <row r="334">
          <cell r="B334" t="str">
            <v>Marketing Customer sold-to</v>
          </cell>
          <cell r="C334" t="str">
            <v>MARKETING_CUSTOMER_SOLD_TO</v>
          </cell>
          <cell r="D334" t="str">
            <v>Marketing customer (sold-to)</v>
          </cell>
          <cell r="E334" t="str">
            <v>An attribute in the customer master that assigns the sold-to party to a higher-level marketing customer.</v>
          </cell>
        </row>
        <row r="335">
          <cell r="B335" t="str">
            <v>Marketing Customer sold-to2</v>
          </cell>
          <cell r="C335" t="str">
            <v>MARKETING_CUSTOMER_SOLD_TO2</v>
          </cell>
          <cell r="D335" t="str">
            <v>Marketing customer (sold-to) (TEXT)</v>
          </cell>
        </row>
        <row r="336">
          <cell r="B336" t="str">
            <v>Marketing Level 0</v>
          </cell>
          <cell r="C336" t="str">
            <v>MARKETING_LEVEL_0</v>
          </cell>
          <cell r="D336" t="str">
            <v>Marketing level 0 (top level)</v>
          </cell>
          <cell r="E336" t="str">
            <v>Highest level of the internal marketing hierarchy. Typically corresponds to the reportable segment (e.g. "Performance Materials" or "Solutions &amp; Specialties"). Serves as the highest aggregation level in product portfolio reporting.</v>
          </cell>
        </row>
        <row r="337">
          <cell r="B337" t="str">
            <v>Marketing Level 02</v>
          </cell>
          <cell r="C337" t="str">
            <v>MARKETING_LEVEL_02</v>
          </cell>
          <cell r="D337" t="str">
            <v>Marketing level 0 (top level) (TEXT)</v>
          </cell>
        </row>
        <row r="338">
          <cell r="B338" t="str">
            <v>Marketing Level 1</v>
          </cell>
          <cell r="C338" t="str">
            <v>MARKETING_LEVEL_1</v>
          </cell>
          <cell r="D338" t="str">
            <v>Marketing level 1</v>
          </cell>
          <cell r="E338" t="str">
            <v>Second level of the internal marketing hierarchy. Subdivides the reportable segment into strategic product groups or business entities.</v>
          </cell>
        </row>
        <row r="339">
          <cell r="B339" t="str">
            <v>Marketing Level 12</v>
          </cell>
          <cell r="C339" t="str">
            <v>MARKETING_LEVEL_12</v>
          </cell>
          <cell r="D339" t="str">
            <v>Marketing level 1 (TEXT)</v>
          </cell>
        </row>
        <row r="340">
          <cell r="B340" t="str">
            <v>Marketing Level 2</v>
          </cell>
          <cell r="C340" t="str">
            <v>MARKETING_LEVEL_2</v>
          </cell>
          <cell r="D340" t="str">
            <v>Marketing level 2</v>
          </cell>
          <cell r="E340" t="str">
            <v>Third level of the internal marketing hierarchy. Represents a further subdivision of Marketing Level 1 groups, e.g. by product lines or application areas.</v>
          </cell>
        </row>
        <row r="341">
          <cell r="B341" t="str">
            <v>Marketing Level 22</v>
          </cell>
          <cell r="C341" t="str">
            <v>MARKETING_LEVEL_22</v>
          </cell>
          <cell r="D341" t="str">
            <v>Marketing level 2 (TEXT)</v>
          </cell>
        </row>
        <row r="342">
          <cell r="B342" t="str">
            <v>Marketing Level 3</v>
          </cell>
          <cell r="C342" t="str">
            <v>MARKETING_LEVEL_3</v>
          </cell>
          <cell r="D342" t="str">
            <v>Marketing level 3</v>
          </cell>
          <cell r="E342" t="str">
            <v>Fourth level of the internal marketing hierarchy. Further detail breakdown below Marketing Level 2, e.g. by product types or market segments.</v>
          </cell>
        </row>
        <row r="343">
          <cell r="B343" t="str">
            <v>Marketing Level 32</v>
          </cell>
          <cell r="C343" t="str">
            <v>MARKETING_LEVEL_32</v>
          </cell>
          <cell r="D343" t="str">
            <v>Marketing level 3 (TEXT)</v>
          </cell>
        </row>
        <row r="344">
          <cell r="B344" t="str">
            <v>Marketing Level 4</v>
          </cell>
          <cell r="C344" t="str">
            <v>MARKETING_LEVEL_4</v>
          </cell>
          <cell r="D344" t="str">
            <v>Marketing level 4 (lowest level)</v>
          </cell>
          <cell r="E344" t="str">
            <v>Lowest level of the internal marketing hierarchy. Represents the most granular classification in the marketing product tree, e.g. individual product grades or specifications.</v>
          </cell>
        </row>
        <row r="345">
          <cell r="B345" t="str">
            <v>Marketing Level 42</v>
          </cell>
          <cell r="C345" t="str">
            <v>MARKETING_LEVEL_42</v>
          </cell>
          <cell r="D345" t="str">
            <v>Marketing level 4 (lowest level) (TEXT)</v>
          </cell>
        </row>
        <row r="346">
          <cell r="B346" t="str">
            <v>Material</v>
          </cell>
          <cell r="C346" t="str">
            <v>MATERIAL</v>
          </cell>
          <cell r="D346" t="str">
            <v>Material number</v>
          </cell>
          <cell r="E346" t="str">
            <v xml:space="preserve">The unique alphanumeric identifier of a material (product, raw material, semi-finished good) in the SAP system. Central master data object to which all logistical and accounting transactions are assigned. </v>
          </cell>
        </row>
        <row r="347">
          <cell r="B347" t="str">
            <v>Material2</v>
          </cell>
          <cell r="C347" t="str">
            <v>MATERIAL2</v>
          </cell>
          <cell r="D347" t="str">
            <v>Material number (TEXT)</v>
          </cell>
        </row>
        <row r="348">
          <cell r="B348" t="str">
            <v>PH3 Cluster</v>
          </cell>
          <cell r="C348" t="str">
            <v>PH3_CLUSTER</v>
          </cell>
          <cell r="D348" t="str">
            <v>Product hierarchy level 3 cluster</v>
          </cell>
          <cell r="E348" t="str">
            <v>A grouping based on the third product hierarchy level (PH3). Aggregates product groups into strategic clusters used for sales and planning analyses. Example cluster: ACR for acrylate product groups.</v>
          </cell>
        </row>
        <row r="349">
          <cell r="B349" t="str">
            <v>PH3 Cluster2</v>
          </cell>
          <cell r="C349" t="str">
            <v>PH3_CLUSTER2</v>
          </cell>
          <cell r="D349" t="str">
            <v>Product hierarchy level 3 cluster (TEXT)</v>
          </cell>
        </row>
        <row r="350">
          <cell r="B350" t="str">
            <v>Plant</v>
          </cell>
          <cell r="C350" t="str">
            <v>PLANT</v>
          </cell>
          <cell r="D350" t="str">
            <v>Plant</v>
          </cell>
          <cell r="E350" t="str">
            <v xml:space="preserve">A plant is an organizational unit within logistics that represents the location of a production facility, storage location or service provision. All material stocks, production orders and deliveries are assigned to a plant. </v>
          </cell>
        </row>
        <row r="351">
          <cell r="B351" t="str">
            <v>Plant2</v>
          </cell>
          <cell r="C351" t="str">
            <v>PLANT2</v>
          </cell>
          <cell r="D351" t="str">
            <v>Plant (TEXT)</v>
          </cell>
        </row>
        <row r="352">
          <cell r="B352" t="str">
            <v>Prod.Hier.1</v>
          </cell>
          <cell r="C352" t="str">
            <v>PROD_HIER_1</v>
          </cell>
          <cell r="D352" t="str">
            <v>Product hierarchy level 1</v>
          </cell>
          <cell r="E352" t="str">
            <v>First (highest) level of the product hierarchy used for high-level product grouping. An alphanumeric character string that groups materials by overarching characteristics (e.g. product division).</v>
          </cell>
        </row>
        <row r="353">
          <cell r="B353" t="str">
            <v>Prod.Hier.12</v>
          </cell>
          <cell r="C353" t="str">
            <v>PROD_HIER_12</v>
          </cell>
          <cell r="D353" t="str">
            <v>Product hierarchy level 1 (TEXT)</v>
          </cell>
        </row>
        <row r="354">
          <cell r="B354" t="str">
            <v>Prod.Hier.2</v>
          </cell>
          <cell r="C354" t="str">
            <v>PROD_HIER_2</v>
          </cell>
          <cell r="D354" t="str">
            <v>Product hierarchy level 2</v>
          </cell>
          <cell r="E354" t="str">
            <v xml:space="preserve">Second level of the product hierarchy. Subdivides the first level into product categories. </v>
          </cell>
        </row>
        <row r="355">
          <cell r="B355" t="str">
            <v>Prod.Hier.22</v>
          </cell>
          <cell r="C355" t="str">
            <v>PROD_HIER_22</v>
          </cell>
          <cell r="D355" t="str">
            <v>Product hierarchy level 2 (TEXT)</v>
          </cell>
        </row>
        <row r="356">
          <cell r="B356" t="str">
            <v>Prod.Hier.3</v>
          </cell>
          <cell r="C356" t="str">
            <v>PROD_HIER_3</v>
          </cell>
          <cell r="D356" t="str">
            <v>Product hierarchy level 3</v>
          </cell>
          <cell r="E356" t="str">
            <v xml:space="preserve">Third level of the  product hierarchy. Represents the product subcategory or product type. </v>
          </cell>
        </row>
        <row r="357">
          <cell r="B357" t="str">
            <v>Prod.Hier.32</v>
          </cell>
          <cell r="C357" t="str">
            <v>PROD_HIER_32</v>
          </cell>
          <cell r="D357" t="str">
            <v>Product hierarchy level 3 (TEXT)</v>
          </cell>
        </row>
        <row r="358">
          <cell r="B358" t="str">
            <v>Prod.Hier.4</v>
          </cell>
          <cell r="C358" t="str">
            <v>PROD_HIER_4</v>
          </cell>
          <cell r="D358" t="str">
            <v>Product hierarchy level 4</v>
          </cell>
          <cell r="E358" t="str">
            <v>Fourth level of the product hierarchy used for more detailed product classifications.</v>
          </cell>
        </row>
        <row r="359">
          <cell r="B359" t="str">
            <v>Prod.Hier.42</v>
          </cell>
          <cell r="C359" t="str">
            <v>PROD_HIER_42</v>
          </cell>
          <cell r="D359" t="str">
            <v>Product hierarchy level 4 (TEXT)</v>
          </cell>
        </row>
        <row r="360">
          <cell r="B360" t="str">
            <v>Prod.Hier.5</v>
          </cell>
          <cell r="C360" t="str">
            <v>PROD_HIER_5</v>
          </cell>
          <cell r="D360" t="str">
            <v>Product hierarchy level 5</v>
          </cell>
          <cell r="E360" t="str">
            <v>Fifth level of the product hierarchy used for more granular product group analyses (not used anymore)</v>
          </cell>
        </row>
        <row r="361">
          <cell r="B361" t="str">
            <v>Prod.Hier.52</v>
          </cell>
          <cell r="C361" t="str">
            <v>PROD_HIER_52</v>
          </cell>
          <cell r="D361" t="str">
            <v>Product hierarchy level 5 (TEXT)</v>
          </cell>
        </row>
        <row r="362">
          <cell r="B362" t="str">
            <v>Prod.Hier.6</v>
          </cell>
          <cell r="C362" t="str">
            <v>PROD_HIER_6</v>
          </cell>
          <cell r="D362" t="str">
            <v>Product hierarchy level 6</v>
          </cell>
          <cell r="E362" t="str">
            <v>Sixth and lowest level of the product hierarchy at individual product or grade level for detailed product reporting. (not used anymore)</v>
          </cell>
        </row>
        <row r="363">
          <cell r="B363" t="str">
            <v>Prod.Hier.62</v>
          </cell>
          <cell r="C363" t="str">
            <v>PROD_HIER_62</v>
          </cell>
          <cell r="D363" t="str">
            <v>Product hierarchy level 6 (TEXT)</v>
          </cell>
        </row>
        <row r="364">
          <cell r="B364" t="str">
            <v>Produced Material</v>
          </cell>
          <cell r="C364" t="str">
            <v>PRODUCED_MATERIAL</v>
          </cell>
          <cell r="D364" t="str">
            <v>Produced material</v>
          </cell>
          <cell r="E364" t="e">
            <v>#VALUE!</v>
          </cell>
        </row>
        <row r="365">
          <cell r="B365" t="str">
            <v>Produced Material2</v>
          </cell>
          <cell r="C365" t="str">
            <v>PRODUCED_MATERIAL2</v>
          </cell>
          <cell r="D365" t="str">
            <v>Produced material (TEXT)</v>
          </cell>
        </row>
        <row r="366">
          <cell r="B366" t="str">
            <v>Region ship-to</v>
          </cell>
          <cell r="C366" t="str">
            <v>REGION_SHIP_TO</v>
          </cell>
          <cell r="D366" t="str">
            <v>Region of the ship-to party</v>
          </cell>
          <cell r="E366" t="str">
            <v>The geographic region (e.g. state, province) of the ship-to party. Derived from the customer address master and used for regional sales analyses.</v>
          </cell>
        </row>
        <row r="367">
          <cell r="B367" t="str">
            <v>Region ship-to2</v>
          </cell>
          <cell r="C367" t="str">
            <v>REGION_SHIP_TO2</v>
          </cell>
          <cell r="D367" t="str">
            <v>Region of the ship-to party (TEXT)</v>
          </cell>
        </row>
        <row r="368">
          <cell r="B368" t="str">
            <v>Region sold-to</v>
          </cell>
          <cell r="C368" t="str">
            <v>REGION_SOLD_TO</v>
          </cell>
          <cell r="D368" t="str">
            <v>Region of the sold-to party</v>
          </cell>
          <cell r="E368" t="str">
            <v>The geographic region of the sold-to party. Derived from the customer address master and used for regional sales analyses.</v>
          </cell>
        </row>
        <row r="369">
          <cell r="B369" t="str">
            <v>Region sold-to2</v>
          </cell>
          <cell r="C369" t="str">
            <v>REGION_SOLD_TO2</v>
          </cell>
          <cell r="D369" t="str">
            <v>Region of the sold-to party (TEXT)</v>
          </cell>
        </row>
        <row r="370">
          <cell r="B370" t="str">
            <v>Reporting Unit, book</v>
          </cell>
          <cell r="C370" t="str">
            <v>REPORTING_UNIT__BOOK</v>
          </cell>
          <cell r="D370" t="str">
            <v>Reporting unit (booked)</v>
          </cell>
          <cell r="E370" t="e">
            <v>#VALUE!</v>
          </cell>
        </row>
        <row r="371">
          <cell r="B371" t="str">
            <v>Reporting Unit, book2</v>
          </cell>
          <cell r="C371" t="str">
            <v>REPORTING_UNIT__BOOK2</v>
          </cell>
          <cell r="D371" t="str">
            <v>Reporting unit (booked) (TEXT)</v>
          </cell>
        </row>
        <row r="372">
          <cell r="B372" t="str">
            <v>SBE</v>
          </cell>
          <cell r="C372" t="str">
            <v>SBE</v>
          </cell>
          <cell r="D372" t="str">
            <v>Strategic Business Entity</v>
          </cell>
          <cell r="E372" t="e">
            <v>#VALUE!</v>
          </cell>
        </row>
        <row r="373">
          <cell r="B373" t="str">
            <v>SBE2</v>
          </cell>
          <cell r="C373" t="str">
            <v>SBE2</v>
          </cell>
          <cell r="D373" t="str">
            <v>Strategic Business Entity (TEXT)</v>
          </cell>
        </row>
        <row r="374">
          <cell r="B374" t="str">
            <v>Sales Organization</v>
          </cell>
          <cell r="C374" t="str">
            <v>SALES_ORGANIZATION</v>
          </cell>
          <cell r="D374" t="str">
            <v>Sales organization</v>
          </cell>
          <cell r="E374" t="e">
            <v>#VALUE!</v>
          </cell>
        </row>
        <row r="375">
          <cell r="B375" t="str">
            <v>Sales Organization2</v>
          </cell>
          <cell r="C375" t="str">
            <v>SALES_ORGANIZATION2</v>
          </cell>
          <cell r="D375" t="str">
            <v>Sales organization (TEXT)</v>
          </cell>
        </row>
        <row r="376">
          <cell r="B376" t="str">
            <v>Ship-to</v>
          </cell>
          <cell r="C376" t="str">
            <v>SHIP_TO</v>
          </cell>
          <cell r="D376" t="str">
            <v>Ship-to party</v>
          </cell>
          <cell r="E376" t="str">
            <v xml:space="preserve">The partner to whom goods are physically delivered (partner function SH). May differ from the sold-to party. Delivery address, shipping conditions and goods recipient data are taken from the customer master. </v>
          </cell>
        </row>
        <row r="377">
          <cell r="B377" t="str">
            <v>Ship-to2</v>
          </cell>
          <cell r="C377" t="str">
            <v>SHIP_TO2</v>
          </cell>
          <cell r="D377" t="str">
            <v>Ship-to party (TEXT)</v>
          </cell>
        </row>
        <row r="378">
          <cell r="B378" t="str">
            <v>ShipTo State/ Province</v>
          </cell>
          <cell r="C378" t="str">
            <v>SHIPTO_STATE__PROVINCE</v>
          </cell>
          <cell r="D378" t="str">
            <v>State / province of the ship-to party</v>
          </cell>
          <cell r="E378" t="str">
            <v>The state or province of the ship-to party from the address master. Relevant for tax assignments (e.g. US sales tax) and regional analyses.</v>
          </cell>
        </row>
        <row r="379">
          <cell r="B379" t="str">
            <v>ShipTo State/ Province2</v>
          </cell>
          <cell r="C379" t="str">
            <v>SHIPTO_STATE__PROVINCE2</v>
          </cell>
          <cell r="D379" t="str">
            <v>State / province of the ship-to party (TEXT)</v>
          </cell>
        </row>
        <row r="380">
          <cell r="B380" t="str">
            <v>Sold-to</v>
          </cell>
          <cell r="C380" t="str">
            <v>SOLD_TO</v>
          </cell>
          <cell r="D380" t="str">
            <v>Sold-to party</v>
          </cell>
          <cell r="E380" t="str">
            <v>The customer who places the order (partner function SP). Central business partner in the order-to-cash process. Pricing conditions, payment terms and customer hierarchies are derived from the sold-to party.</v>
          </cell>
        </row>
        <row r="381">
          <cell r="B381" t="str">
            <v>Sold-to2</v>
          </cell>
          <cell r="C381" t="str">
            <v>SOLD_TO2</v>
          </cell>
          <cell r="D381" t="str">
            <v>Sold-to party (TEXT)</v>
          </cell>
        </row>
        <row r="382">
          <cell r="B382" t="str">
            <v>SoldTo State/ Province</v>
          </cell>
          <cell r="C382" t="str">
            <v>SOLDTO_STATE__PROVINCE</v>
          </cell>
          <cell r="D382" t="str">
            <v>State / province of the sold-to party</v>
          </cell>
          <cell r="E382" t="str">
            <v>The state or province of the sold-to party from the address master. Relevant for tax and regional analyses.</v>
          </cell>
        </row>
        <row r="383">
          <cell r="B383" t="str">
            <v>SoldTo State/ Province2</v>
          </cell>
          <cell r="C383" t="str">
            <v>SOLDTO_STATE__PROVINCE2</v>
          </cell>
          <cell r="D383" t="str">
            <v>State / province of the sold-to party (TEXT)</v>
          </cell>
        </row>
        <row r="384">
          <cell r="B384" t="str">
            <v>Subregion ship-to</v>
          </cell>
          <cell r="C384" t="str">
            <v>SUBREGION_SHIP_TO</v>
          </cell>
          <cell r="D384" t="str">
            <v>Subregion of the ship-to party</v>
          </cell>
          <cell r="E384" t="str">
            <v>An attribute that assigns the ship-to party to a geographic subregion below the main region (e.g. Eastern Europe as a subregion of Europe). Used for detailed geographic sales analyses.</v>
          </cell>
        </row>
        <row r="385">
          <cell r="B385" t="str">
            <v>Subregion ship-to2</v>
          </cell>
          <cell r="C385" t="str">
            <v>SUBREGION_SHIP_TO2</v>
          </cell>
          <cell r="D385" t="str">
            <v>Subregion of the ship-to party (TEXT)</v>
          </cell>
        </row>
        <row r="386">
          <cell r="B386" t="str">
            <v>Subregion sold-to</v>
          </cell>
          <cell r="C386" t="str">
            <v>SUBREGION_SOLD_TO</v>
          </cell>
          <cell r="D386" t="str">
            <v>Subregion of the sold-to party</v>
          </cell>
          <cell r="E386" t="str">
            <v>An attribute that assigns the sold-to party to a geographic subregion. Analogous to Subregion ship-to, but referring to the sold-to party.</v>
          </cell>
        </row>
        <row r="387">
          <cell r="B387" t="str">
            <v>Subregion sold-to2</v>
          </cell>
          <cell r="C387" t="str">
            <v>SUBREGION_SOLD_TO2</v>
          </cell>
          <cell r="D387" t="str">
            <v>Subregion of the sold-to party (TEXT)</v>
          </cell>
        </row>
        <row r="388">
          <cell r="B388" t="str">
            <v>Unpacked good</v>
          </cell>
          <cell r="C388" t="str">
            <v>UNPACKED_GOOD</v>
          </cell>
          <cell r="D388" t="str">
            <v>Unpacked goods</v>
          </cell>
          <cell r="E388" t="str">
            <v>Indicator or description of whether delivered goods are transported unpackaged (e.g. as bulk goods or in tank trucks). Relevant for packaging classification, hazardous goods handling and sustainability reporting.</v>
          </cell>
        </row>
        <row r="389">
          <cell r="B389" t="str">
            <v>Unpacked good2</v>
          </cell>
          <cell r="C389" t="str">
            <v>UNPACKED_GOOD2</v>
          </cell>
          <cell r="D389" t="str">
            <v>Unpacked goods (TEXT)</v>
          </cell>
        </row>
        <row r="390">
          <cell r="B390" t="str">
            <v>KPI COSMOS: Consolidated Marginal Income II a</v>
          </cell>
          <cell r="C390" t="str">
            <v>KPI_COSMOS__CONSOLIDATED_MARGIN_IIa</v>
          </cell>
          <cell r="D390" t="str">
            <v>Consolidated marginal income II a (COSMOS)</v>
          </cell>
          <cell r="E390" t="str">
            <v>Consolidated Marginal Income I less  fix Total Manufacturing Costs, represents profitability after considering fixed manufacturing costs.</v>
          </cell>
        </row>
        <row r="391">
          <cell r="B391" t="str">
            <v>KPI COSMOS: Consolidated Marginal Income I</v>
          </cell>
          <cell r="C391" t="str">
            <v>KPI_COSMOS__CONSOLIDATED_MARGIN_I</v>
          </cell>
          <cell r="D391" t="str">
            <v>Consolidated marginal income I (COSMOS)</v>
          </cell>
          <cell r="E391" t="str">
            <v>Net proceeds less variable product Costs. Central steering indicator for portfolio decisions and pricing (DICE process).</v>
          </cell>
        </row>
        <row r="392">
          <cell r="B392" t="str">
            <v>KPI COSMOS: Gross Sales</v>
          </cell>
          <cell r="C392" t="str">
            <v>KPI_COSMOS__GROSS_SALES</v>
          </cell>
          <cell r="D392" t="str">
            <v>Gross sales (COSMOS)</v>
          </cell>
          <cell r="E392" t="str">
            <v>Gross sales on a consolidated COSMOS basis. Corresponds to the invoiced revenue from external sales (approx. 99% of total sales) before sales deductions are subtracted. Based on CO-PA data, enriched by COSMOS consolidation logic.</v>
          </cell>
        </row>
        <row r="393">
          <cell r="B393" t="str">
            <v>KPI COSMOS: Gross Sales Qty (in+ex)</v>
          </cell>
          <cell r="C393" t="str">
            <v>KPI_COSMOS__GROSS_SALES_QTY__IN_EX</v>
          </cell>
          <cell r="D393" t="str">
            <v>Gross sales quantity internal + external (COSMOS)</v>
          </cell>
          <cell r="E393" t="str">
            <v>The total quantity (in KG) of all sales on a COSMOS basis, including internal (intercompany) and external deliveries. "in+ex" stands for internal + external. Used as the volume basis for the calculation of unit costs (e.g. Product Costs, Var./KG).</v>
          </cell>
        </row>
        <row r="394">
          <cell r="B394" t="str">
            <v>KPI COSMOS: Net Proceeds</v>
          </cell>
          <cell r="C394" t="str">
            <v>KPI_COSMOS__NET_PROCEEDS</v>
          </cell>
          <cell r="D394" t="str">
            <v>Net proceeds (COSMOS)</v>
          </cell>
          <cell r="E394" t="str">
            <v>Net sales less sales adjustments on a consolidated COSMOS basis, represents revenue after application of sales deductions and sales adjustments</v>
          </cell>
        </row>
        <row r="395">
          <cell r="B395" t="str">
            <v>KPI COSMOS: Net Sales</v>
          </cell>
          <cell r="C395" t="str">
            <v>KPI_COSMOS__NET_SALES</v>
          </cell>
          <cell r="D395" t="str">
            <v>Net sales (COSMOS)</v>
          </cell>
          <cell r="E395" t="str">
            <v>Gross sales less Sales deductions on a COSMOS basis. Corresponds to the final net sales after all revenue deductions and corrections in the consolidated margin reporting.</v>
          </cell>
        </row>
        <row r="396">
          <cell r="B396" t="str">
            <v>KPI COSMOS: Product Costs, Var.</v>
          </cell>
          <cell r="C396" t="str">
            <v>KPI_COSMOS__PRODUCT_COSTS__VAR</v>
          </cell>
          <cell r="D396" t="str">
            <v>Variable product costs (COSMOS)</v>
          </cell>
          <cell r="E396" t="str">
            <v>The consolidated variable production costs from COSMOS. Include direct material costs (DMC), variable direct product costs (DPC,var) as well as variable services and activities along the value chain.</v>
          </cell>
        </row>
        <row r="397">
          <cell r="B397" t="str">
            <v>KPI COSMOS: Sales Adjustments</v>
          </cell>
          <cell r="C397" t="str">
            <v>KPI_COSMOS__SALES_ADJUSTMENTS</v>
          </cell>
          <cell r="D397" t="str">
            <v>Sales adjustments (COSMOS)</v>
          </cell>
          <cell r="E397" t="str">
            <v>Correction postings to revenue on a COSMOS basis. Corresponds in content to the CO-PA Sales Adjustments, but in the consolidated COSMOS context. Reported between Net Proceeds and Net Sales.</v>
          </cell>
        </row>
        <row r="398">
          <cell r="B398" t="str">
            <v>KPI COSMOS: Sales Deductions</v>
          </cell>
          <cell r="C398" t="str">
            <v>KPI_COSMOS__SALES_DEDUCTIONS</v>
          </cell>
          <cell r="D398" t="str">
            <v>Sales deductions (COSMOS)</v>
          </cell>
          <cell r="E398" t="str">
            <v>Sales deductions on a consolidated COSMOS basis. Originate from the unconsolidated CO-PA dataset (discounts, bonuses, cash discounts, commissions) and flow unchanged into the COSMOS calculation.</v>
          </cell>
        </row>
        <row r="399">
          <cell r="B399" t="str">
            <v>KPI COSMOS: Total Manufacturing Costs, Fix</v>
          </cell>
          <cell r="C399" t="str">
            <v>KPI_COSMOS__TOTAL_MANUFACTURING</v>
          </cell>
          <cell r="D399" t="str">
            <v>Total fixed manufacturing costs (COSMOS)</v>
          </cell>
          <cell r="E399" t="e">
            <v>#VALUE!</v>
          </cell>
        </row>
        <row r="400">
          <cell r="B400" t="str">
            <v>Act. GI Day</v>
          </cell>
          <cell r="C400" t="str">
            <v>ACT__GI_DAY</v>
          </cell>
          <cell r="D400" t="str">
            <v>Actual goods issue date</v>
          </cell>
          <cell r="E400" t="e">
            <v>#VALUE!</v>
          </cell>
        </row>
        <row r="401">
          <cell r="B401" t="str">
            <v>BG, booked</v>
          </cell>
          <cell r="C401" t="str">
            <v>BG__BOOKED</v>
          </cell>
          <cell r="D401" t="str">
            <v>Booked business group</v>
          </cell>
          <cell r="E401" t="str">
            <v>Indicator for the booked business group (BG) of a document. Used in profitability analysis (CO-PA) and reporting to delimit booking units within a company code.</v>
          </cell>
        </row>
        <row r="402">
          <cell r="B402" t="str">
            <v>BG, booked2</v>
          </cell>
          <cell r="C402" t="str">
            <v>BG__BOOKED2</v>
          </cell>
          <cell r="D402" t="str">
            <v>Booked business group (TEXT)</v>
          </cell>
        </row>
        <row r="403">
          <cell r="B403" t="str">
            <v>Carrier</v>
          </cell>
          <cell r="C403" t="str">
            <v>CARRIER</v>
          </cell>
          <cell r="D403" t="str">
            <v>Carrier / freight forwarder</v>
          </cell>
          <cell r="E403" t="str">
            <v>The logistics service provider (carrier) that executes the transport. The carrier is managed as a business partner and assigned to a freight order. Relevant for transport performance analysis and OTIF evaluations.</v>
          </cell>
        </row>
        <row r="404">
          <cell r="B404" t="str">
            <v>Carrier2</v>
          </cell>
          <cell r="C404" t="str">
            <v>CARRIER2</v>
          </cell>
          <cell r="D404" t="str">
            <v>Carrier / freight forwarder (TEXT)</v>
          </cell>
        </row>
        <row r="405">
          <cell r="B405" t="str">
            <v>Company Code</v>
          </cell>
          <cell r="C405" t="str">
            <v>COMPANY_CODE</v>
          </cell>
          <cell r="D405" t="str">
            <v>Company code</v>
          </cell>
          <cell r="E405" t="e">
            <v>#VALUE!</v>
          </cell>
        </row>
        <row r="406">
          <cell r="B406" t="str">
            <v>Company Code2</v>
          </cell>
          <cell r="C406" t="str">
            <v>COMPANY_CODE2</v>
          </cell>
          <cell r="D406" t="str">
            <v>Company code (TEXT)</v>
          </cell>
        </row>
        <row r="407">
          <cell r="B407" t="str">
            <v>Core Business Indicator</v>
          </cell>
          <cell r="C407" t="str">
            <v>CORE_BUSINESS_INDICATOR</v>
          </cell>
          <cell r="D407" t="str">
            <v>Core business indicator</v>
          </cell>
          <cell r="E407" t="e">
            <v>#VALUE!</v>
          </cell>
        </row>
        <row r="408">
          <cell r="B408" t="str">
            <v>Core Business Indicator2</v>
          </cell>
          <cell r="C408" t="str">
            <v>CORE_BUSINESS_INDICATOR2</v>
          </cell>
          <cell r="D408" t="str">
            <v>Core business indicator (TEXT)</v>
          </cell>
        </row>
        <row r="409">
          <cell r="B409" t="str">
            <v>Country ship-to</v>
          </cell>
          <cell r="C409" t="str">
            <v>COUNTRY_SHIP_TO</v>
          </cell>
          <cell r="D409" t="str">
            <v>Country of the ship-to party</v>
          </cell>
          <cell r="E409" t="str">
            <v>The country of the ship-to partner (goods recipient) from the customer master. Used for geographic analyses, foreign trade statistics and export controls. Part of the customer attributes in SAP S/4HANA (Ship-to Country).</v>
          </cell>
        </row>
        <row r="410">
          <cell r="B410" t="str">
            <v>Country ship-to2</v>
          </cell>
          <cell r="C410" t="str">
            <v>COUNTRY_SHIP_TO2</v>
          </cell>
          <cell r="D410" t="str">
            <v>Country of the ship-to party (TEXT)</v>
          </cell>
        </row>
        <row r="411">
          <cell r="B411" t="str">
            <v>Country sold-to</v>
          </cell>
          <cell r="C411" t="str">
            <v>COUNTRY_SOLD_TO</v>
          </cell>
          <cell r="D411" t="str">
            <v>Country of the sold-to party</v>
          </cell>
          <cell r="E411" t="str">
            <v>The country of the sold-to partner (ordering customer) from the customer master. Used for geographic sales analyses. Part of the customer attributes in SAP S/4HANA (Sold-to Country).</v>
          </cell>
        </row>
        <row r="412">
          <cell r="B412" t="str">
            <v>Country sold-to2</v>
          </cell>
          <cell r="C412" t="str">
            <v>COUNTRY_SOLD_TO2</v>
          </cell>
          <cell r="D412" t="str">
            <v>Country of the sold-to party (TEXT)</v>
          </cell>
        </row>
        <row r="413">
          <cell r="B413" t="str">
            <v>Delivery plant</v>
          </cell>
          <cell r="C413" t="str">
            <v>DELIVERY_PLANT</v>
          </cell>
          <cell r="D413" t="str">
            <v>Delivering plant</v>
          </cell>
          <cell r="E413" t="str">
            <v>The plant from which the delivery to the customer is made. Recorded in the outbound delivery document and serves as an organizational element for warehouse logistics and production planning. Also determines the shipping point.</v>
          </cell>
        </row>
        <row r="414">
          <cell r="B414" t="str">
            <v>Delivery plant2</v>
          </cell>
          <cell r="C414" t="str">
            <v>DELIVERY_PLANT2</v>
          </cell>
          <cell r="D414" t="str">
            <v>Delivering plant (TEXT)</v>
          </cell>
        </row>
        <row r="415">
          <cell r="B415" t="str">
            <v>Extern. Sales Office</v>
          </cell>
          <cell r="C415" t="str">
            <v>EXTERN__SALES_OFFICE</v>
          </cell>
          <cell r="D415" t="str">
            <v>External sales office code</v>
          </cell>
          <cell r="E415" t="e">
            <v>#VALUE!</v>
          </cell>
        </row>
        <row r="416">
          <cell r="B416" t="str">
            <v>Extern. Sales Office2</v>
          </cell>
          <cell r="C416" t="str">
            <v>EXTERN__SALES_OFFICE2</v>
          </cell>
          <cell r="D416" t="str">
            <v>External sales office code (TEXT)</v>
          </cell>
        </row>
        <row r="417">
          <cell r="B417" t="str">
            <v>Int. Sales Group</v>
          </cell>
          <cell r="C417" t="str">
            <v>INT__SALES_GROUP</v>
          </cell>
          <cell r="D417" t="str">
            <v>Internal sales group</v>
          </cell>
          <cell r="E417" t="str">
            <v xml:space="preserve">An internal sales group is a sub-unit of a sales office. Employees are assigned to sales groups; a group is responsible for all line items in a sales document. </v>
          </cell>
        </row>
        <row r="418">
          <cell r="B418" t="str">
            <v>Int. Sales Group2</v>
          </cell>
          <cell r="C418" t="str">
            <v>INT__SALES_GROUP2</v>
          </cell>
          <cell r="D418" t="str">
            <v>Internal sales group (TEXT)</v>
          </cell>
        </row>
        <row r="419">
          <cell r="B419" t="str">
            <v>Int. Sales office</v>
          </cell>
          <cell r="C419" t="str">
            <v>INT__SALES_OFFICE</v>
          </cell>
          <cell r="D419" t="str">
            <v>Internal sales office</v>
          </cell>
          <cell r="E419" t="str">
            <v>The internal sales office is assigned to one or more sales areas and can be subdivided into several sales groups.</v>
          </cell>
        </row>
        <row r="420">
          <cell r="B420" t="str">
            <v>Int. Sales office2</v>
          </cell>
          <cell r="C420" t="str">
            <v>INT__SALES_OFFICE2</v>
          </cell>
          <cell r="D420" t="str">
            <v>Internal sales office (TEXT)</v>
          </cell>
        </row>
        <row r="421">
          <cell r="B421" t="str">
            <v>Key Industry</v>
          </cell>
          <cell r="C421" t="str">
            <v>KEY_INDUSTRY</v>
          </cell>
          <cell r="D421" t="str">
            <v>Key industry</v>
          </cell>
          <cell r="E421" t="str">
            <v>An attribute that classifies the target industry of a customer or product (e.g. Automotive, Construction, Electronics). Used for market and industry segmentation in sales reporting.</v>
          </cell>
        </row>
        <row r="422">
          <cell r="B422" t="str">
            <v>Key Industry2</v>
          </cell>
          <cell r="C422" t="str">
            <v>KEY_INDUSTRY2</v>
          </cell>
          <cell r="D422" t="str">
            <v>Key industry (TEXT)</v>
          </cell>
        </row>
        <row r="423">
          <cell r="B423" t="str">
            <v>Leg transp. Chain</v>
          </cell>
          <cell r="C423" t="str">
            <v>LEG_TRANSP__CHAIN</v>
          </cell>
          <cell r="D423" t="str">
            <v>Transport chain leg</v>
          </cell>
          <cell r="E423" t="e">
            <v>#VALUE!</v>
          </cell>
        </row>
        <row r="424">
          <cell r="B424" t="str">
            <v>Leg transp. Chain2</v>
          </cell>
          <cell r="C424" t="str">
            <v>LEG_TRANSP__CHAIN2</v>
          </cell>
          <cell r="D424" t="str">
            <v>Transport chain leg (TEXT)</v>
          </cell>
        </row>
        <row r="425">
          <cell r="B425" t="str">
            <v>Loading Country</v>
          </cell>
          <cell r="C425" t="str">
            <v>LOADING_COUNTRY</v>
          </cell>
          <cell r="D425" t="str">
            <v>Loading country</v>
          </cell>
          <cell r="E425" t="str">
            <v>The country in which the goods are loaded (country of origin of the transport). Relevant for foreign trade statistics, Intrastat declarations and customs processing.</v>
          </cell>
        </row>
        <row r="426">
          <cell r="B426" t="str">
            <v>Loading Country2</v>
          </cell>
          <cell r="C426" t="str">
            <v>LOADING_COUNTRY2</v>
          </cell>
          <cell r="D426" t="str">
            <v>Loading country (TEXT)</v>
          </cell>
        </row>
        <row r="427">
          <cell r="B427" t="str">
            <v>Loading location</v>
          </cell>
          <cell r="C427" t="str">
            <v>LOADING_LOCATION</v>
          </cell>
          <cell r="D427" t="str">
            <v>Loading location</v>
          </cell>
          <cell r="E427" t="str">
            <v>The specific location (plant, warehouse, port) from which goods are loaded. Used in transportation management as the source location and influences route planning.</v>
          </cell>
        </row>
        <row r="428">
          <cell r="B428" t="str">
            <v>Loading location2</v>
          </cell>
          <cell r="C428" t="str">
            <v>LOADING_LOCATION2</v>
          </cell>
          <cell r="D428" t="str">
            <v>Loading location (TEXT)</v>
          </cell>
        </row>
        <row r="429">
          <cell r="B429" t="str">
            <v>Marketing Customer ship-to</v>
          </cell>
          <cell r="C429" t="str">
            <v>MARKETING_CUSTOMER_SHIP_TO</v>
          </cell>
          <cell r="D429" t="str">
            <v>Marketing customer (ship-to)</v>
          </cell>
          <cell r="E429" t="str">
            <v xml:space="preserve">An attribute in the customer master that assigns the ship-to party to a higher-level marketing customer. </v>
          </cell>
        </row>
        <row r="430">
          <cell r="B430" t="str">
            <v>Marketing Customer ship-to2</v>
          </cell>
          <cell r="C430" t="str">
            <v>MARKETING_CUSTOMER_SHIP_TO2</v>
          </cell>
          <cell r="D430" t="str">
            <v>Marketing customer (ship-to) (TEXT)</v>
          </cell>
        </row>
        <row r="431">
          <cell r="B431" t="str">
            <v>Marketing Customer sold-to</v>
          </cell>
          <cell r="C431" t="str">
            <v>MARKETING_CUSTOMER_SOLD_TO</v>
          </cell>
          <cell r="D431" t="str">
            <v>Marketing customer (sold-to)</v>
          </cell>
          <cell r="E431" t="str">
            <v>An attribute in the customer master that assigns the sold-to party to a higher-level marketing customer.</v>
          </cell>
        </row>
        <row r="432">
          <cell r="B432" t="str">
            <v>Marketing Customer sold-to2</v>
          </cell>
          <cell r="C432" t="str">
            <v>MARKETING_CUSTOMER_SOLD_TO2</v>
          </cell>
          <cell r="D432" t="str">
            <v>Marketing customer (sold-to) (TEXT)</v>
          </cell>
        </row>
        <row r="433">
          <cell r="B433" t="str">
            <v>Marketing Level 0</v>
          </cell>
          <cell r="C433" t="str">
            <v>MARKETING_LEVEL_0</v>
          </cell>
          <cell r="D433" t="str">
            <v>Marketing level 0 (top level)</v>
          </cell>
          <cell r="E433" t="str">
            <v>Highest level of the internal marketing hierarchy. Typically corresponds to the reportable segment (e.g. "Performance Materials" or "Solutions &amp; Specialties"). Serves as the highest aggregation level in product portfolio reporting.</v>
          </cell>
        </row>
        <row r="434">
          <cell r="B434" t="str">
            <v>Marketing Level 02</v>
          </cell>
          <cell r="C434" t="str">
            <v>MARKETING_LEVEL_02</v>
          </cell>
          <cell r="D434" t="str">
            <v>Marketing level 0 (top level) (TEXT)</v>
          </cell>
        </row>
        <row r="435">
          <cell r="B435" t="str">
            <v>Marketing Level 1</v>
          </cell>
          <cell r="C435" t="str">
            <v>MARKETING_LEVEL_1</v>
          </cell>
          <cell r="D435" t="str">
            <v>Marketing level 1</v>
          </cell>
          <cell r="E435" t="str">
            <v>Second level of the internal marketing hierarchy. Subdivides the reportable segment into strategic product groups or business entities.</v>
          </cell>
        </row>
        <row r="436">
          <cell r="B436" t="str">
            <v>Marketing Level 12</v>
          </cell>
          <cell r="C436" t="str">
            <v>MARKETING_LEVEL_12</v>
          </cell>
          <cell r="D436" t="str">
            <v>Marketing level 1 (TEXT)</v>
          </cell>
        </row>
        <row r="437">
          <cell r="B437" t="str">
            <v>Marketing Level 2</v>
          </cell>
          <cell r="C437" t="str">
            <v>MARKETING_LEVEL_2</v>
          </cell>
          <cell r="D437" t="str">
            <v>Marketing level 2</v>
          </cell>
          <cell r="E437" t="str">
            <v>Third level of the internal marketing hierarchy. Represents a further subdivision of Marketing Level 1 groups, e.g. by product lines or application areas.</v>
          </cell>
        </row>
        <row r="438">
          <cell r="B438" t="str">
            <v>Marketing Level 22</v>
          </cell>
          <cell r="C438" t="str">
            <v>MARKETING_LEVEL_22</v>
          </cell>
          <cell r="D438" t="str">
            <v>Marketing level 2 (TEXT)</v>
          </cell>
        </row>
        <row r="439">
          <cell r="B439" t="str">
            <v>Marketing Level 3</v>
          </cell>
          <cell r="C439" t="str">
            <v>MARKETING_LEVEL_3</v>
          </cell>
          <cell r="D439" t="str">
            <v>Marketing level 3</v>
          </cell>
          <cell r="E439" t="str">
            <v>Fourth level of the internal marketing hierarchy. Further detail breakdown below Marketing Level 2, e.g. by product types or market segments.</v>
          </cell>
        </row>
        <row r="440">
          <cell r="B440" t="str">
            <v>Marketing Level 32</v>
          </cell>
          <cell r="C440" t="str">
            <v>MARKETING_LEVEL_32</v>
          </cell>
          <cell r="D440" t="str">
            <v>Marketing level 3 (TEXT)</v>
          </cell>
        </row>
        <row r="441">
          <cell r="B441" t="str">
            <v>Marketing Level 4</v>
          </cell>
          <cell r="C441" t="str">
            <v>MARKETING_LEVEL_4</v>
          </cell>
          <cell r="D441" t="str">
            <v>Marketing level 4 (lowest level)</v>
          </cell>
          <cell r="E441" t="str">
            <v>Lowest level of the internal marketing hierarchy. Represents the most granular classification in the marketing product tree, e.g. individual product grades or specifications.</v>
          </cell>
        </row>
        <row r="442">
          <cell r="B442" t="str">
            <v>Marketing Level 42</v>
          </cell>
          <cell r="C442" t="str">
            <v>MARKETING_LEVEL_42</v>
          </cell>
          <cell r="D442" t="str">
            <v>Marketing level 4 (lowest level) (TEXT)</v>
          </cell>
        </row>
        <row r="443">
          <cell r="B443" t="str">
            <v>Material</v>
          </cell>
          <cell r="C443" t="str">
            <v>MATERIAL</v>
          </cell>
          <cell r="D443" t="str">
            <v>Material number</v>
          </cell>
          <cell r="E443" t="str">
            <v xml:space="preserve">The unique alphanumeric identifier of a material (product, raw material, semi-finished good) in the SAP system. Central master data object to which all logistical and accounting transactions are assigned. </v>
          </cell>
        </row>
        <row r="444">
          <cell r="B444" t="str">
            <v>Material2</v>
          </cell>
          <cell r="C444" t="str">
            <v>MATERIAL2</v>
          </cell>
          <cell r="D444" t="str">
            <v>Material number (TEXT)</v>
          </cell>
        </row>
        <row r="445">
          <cell r="B445" t="str">
            <v>Mode of transport</v>
          </cell>
          <cell r="C445" t="str">
            <v>MODE_OF_TRANSPORT</v>
          </cell>
          <cell r="D445" t="str">
            <v>Mode of transport</v>
          </cell>
          <cell r="E445" t="str">
            <v>The mode of transport describes the type of means of transport used (e.g. road, rail, sea, air). Managed in SAP TM as "Transportation Mode Code". Relevant for route planning, freight cost calculation and sustainability reporting.</v>
          </cell>
        </row>
        <row r="446">
          <cell r="B446" t="str">
            <v>Mode of transport2</v>
          </cell>
          <cell r="C446" t="str">
            <v>MODE_OF_TRANSPORT2</v>
          </cell>
          <cell r="D446" t="str">
            <v>Mode of transport (TEXT)</v>
          </cell>
        </row>
        <row r="447">
          <cell r="B447" t="str">
            <v>PH3 Cluster</v>
          </cell>
          <cell r="C447" t="str">
            <v>PH3_CLUSTER</v>
          </cell>
          <cell r="D447" t="str">
            <v>Product hierarchy level 3 cluster</v>
          </cell>
          <cell r="E447" t="str">
            <v>A grouping based on the third product hierarchy level (PH3). Aggregates product groups into strategic clusters used for sales and planning analyses. Example cluster: ACR for acrylate product groups.</v>
          </cell>
        </row>
        <row r="448">
          <cell r="B448" t="str">
            <v>PH3 Cluster2</v>
          </cell>
          <cell r="C448" t="str">
            <v>PH3_CLUSTER2</v>
          </cell>
          <cell r="D448" t="str">
            <v>Product hierarchy level 3 cluster (TEXT)</v>
          </cell>
        </row>
        <row r="449">
          <cell r="B449" t="str">
            <v>Plant</v>
          </cell>
          <cell r="C449" t="str">
            <v>PLANT</v>
          </cell>
          <cell r="D449" t="str">
            <v>Plant</v>
          </cell>
          <cell r="E449" t="str">
            <v xml:space="preserve">A plant is an organizational unit within logistics that represents the location of a production facility, storage location or service provision. All material stocks, production orders and deliveries are assigned to a plant. </v>
          </cell>
        </row>
        <row r="450">
          <cell r="B450" t="str">
            <v>Plant2</v>
          </cell>
          <cell r="C450" t="str">
            <v>PLANT2</v>
          </cell>
          <cell r="D450" t="str">
            <v>Plant (TEXT)</v>
          </cell>
        </row>
        <row r="451">
          <cell r="B451" t="str">
            <v>Prod.Hier.1</v>
          </cell>
          <cell r="C451" t="str">
            <v>PROD_HIER_1</v>
          </cell>
          <cell r="D451" t="str">
            <v>Product hierarchy level 1</v>
          </cell>
          <cell r="E451" t="str">
            <v>First (highest) level of the product hierarchy used for high-level product grouping. An alphanumeric character string that groups materials by overarching characteristics (e.g. product division).</v>
          </cell>
        </row>
        <row r="452">
          <cell r="B452" t="str">
            <v>Prod.Hier.12</v>
          </cell>
          <cell r="C452" t="str">
            <v>PROD_HIER_12</v>
          </cell>
          <cell r="D452" t="str">
            <v>Product hierarchy level 1 (TEXT)</v>
          </cell>
        </row>
        <row r="453">
          <cell r="B453" t="str">
            <v>Prod.Hier.2</v>
          </cell>
          <cell r="C453" t="str">
            <v>PROD_HIER_2</v>
          </cell>
          <cell r="D453" t="str">
            <v>Product hierarchy level 2</v>
          </cell>
          <cell r="E453" t="str">
            <v xml:space="preserve">Second level of the product hierarchy. Subdivides the first level into product categories. </v>
          </cell>
        </row>
        <row r="454">
          <cell r="B454" t="str">
            <v>Prod.Hier.22</v>
          </cell>
          <cell r="C454" t="str">
            <v>PROD_HIER_22</v>
          </cell>
          <cell r="D454" t="str">
            <v>Product hierarchy level 2 (TEXT)</v>
          </cell>
        </row>
        <row r="455">
          <cell r="B455" t="str">
            <v>Prod.Hier.3</v>
          </cell>
          <cell r="C455" t="str">
            <v>PROD_HIER_3</v>
          </cell>
          <cell r="D455" t="str">
            <v>Product hierarchy level 3</v>
          </cell>
          <cell r="E455" t="str">
            <v xml:space="preserve">Third level of the  product hierarchy. Represents the product subcategory or product type. </v>
          </cell>
        </row>
        <row r="456">
          <cell r="B456" t="str">
            <v>Prod.Hier.32</v>
          </cell>
          <cell r="C456" t="str">
            <v>PROD_HIER_32</v>
          </cell>
          <cell r="D456" t="str">
            <v>Product hierarchy level 3 (TEXT)</v>
          </cell>
        </row>
        <row r="457">
          <cell r="B457" t="str">
            <v>Prod.Hier.4</v>
          </cell>
          <cell r="C457" t="str">
            <v>PROD_HIER_4</v>
          </cell>
          <cell r="D457" t="str">
            <v>Product hierarchy level 4</v>
          </cell>
          <cell r="E457" t="str">
            <v>Fourth level of the product hierarchy used for more detailed product classifications.</v>
          </cell>
        </row>
        <row r="458">
          <cell r="B458" t="str">
            <v>Prod.Hier.42</v>
          </cell>
          <cell r="C458" t="str">
            <v>PROD_HIER_42</v>
          </cell>
          <cell r="D458" t="str">
            <v>Product hierarchy level 4 (TEXT)</v>
          </cell>
        </row>
        <row r="459">
          <cell r="B459" t="str">
            <v>Prod.Hier.5</v>
          </cell>
          <cell r="C459" t="str">
            <v>PROD_HIER_5</v>
          </cell>
          <cell r="D459" t="str">
            <v>Product hierarchy level 5</v>
          </cell>
          <cell r="E459" t="str">
            <v>Fifth level of the product hierarchy used for more granular product group analyses (not used anymore)</v>
          </cell>
        </row>
        <row r="460">
          <cell r="B460" t="str">
            <v>Prod.Hier.52</v>
          </cell>
          <cell r="C460" t="str">
            <v>PROD_HIER_52</v>
          </cell>
          <cell r="D460" t="str">
            <v>Product hierarchy level 5 (TEXT)</v>
          </cell>
        </row>
        <row r="461">
          <cell r="B461" t="str">
            <v>Prod.Hier.6</v>
          </cell>
          <cell r="C461" t="str">
            <v>PROD_HIER_6</v>
          </cell>
          <cell r="D461" t="str">
            <v>Product hierarchy level 6</v>
          </cell>
          <cell r="E461" t="str">
            <v>Sixth and lowest level of the product hierarchy at individual product or grade level for detailed product reporting. (not used anymore)</v>
          </cell>
        </row>
        <row r="462">
          <cell r="B462" t="str">
            <v>Prod.Hier.62</v>
          </cell>
          <cell r="C462" t="str">
            <v>PROD_HIER_62</v>
          </cell>
          <cell r="D462" t="str">
            <v>Product hierarchy level 6 (TEXT)</v>
          </cell>
        </row>
        <row r="463">
          <cell r="B463" t="str">
            <v>Produced Material</v>
          </cell>
          <cell r="C463" t="str">
            <v>PRODUCED_MATERIAL</v>
          </cell>
          <cell r="D463" t="str">
            <v>Produced material</v>
          </cell>
          <cell r="E463" t="e">
            <v>#VALUE!</v>
          </cell>
        </row>
        <row r="464">
          <cell r="B464" t="str">
            <v>Produced Material2</v>
          </cell>
          <cell r="C464" t="str">
            <v>PRODUCED_MATERIAL2</v>
          </cell>
          <cell r="D464" t="str">
            <v>Produced material (TEXT)</v>
          </cell>
        </row>
        <row r="465">
          <cell r="B465" t="str">
            <v>Region ship-to</v>
          </cell>
          <cell r="C465" t="str">
            <v>REGION_SHIP_TO</v>
          </cell>
          <cell r="D465" t="str">
            <v>Region of the ship-to party</v>
          </cell>
          <cell r="E465" t="str">
            <v>The geographic region (e.g. state, province) of the ship-to party. Derived from the customer address master and used for regional sales analyses.</v>
          </cell>
        </row>
        <row r="466">
          <cell r="B466" t="str">
            <v>Region ship-to2</v>
          </cell>
          <cell r="C466" t="str">
            <v>REGION_SHIP_TO2</v>
          </cell>
          <cell r="D466" t="str">
            <v>Region of the ship-to party (TEXT)</v>
          </cell>
        </row>
        <row r="467">
          <cell r="B467" t="str">
            <v>Region sold-to</v>
          </cell>
          <cell r="C467" t="str">
            <v>REGION_SOLD_TO</v>
          </cell>
          <cell r="D467" t="str">
            <v>Region of the sold-to party</v>
          </cell>
          <cell r="E467" t="str">
            <v>The geographic region of the sold-to party. Derived from the customer address master and used for regional sales analyses.</v>
          </cell>
        </row>
        <row r="468">
          <cell r="B468" t="str">
            <v>Region sold-to2</v>
          </cell>
          <cell r="C468" t="str">
            <v>REGION_SOLD_TO2</v>
          </cell>
          <cell r="D468" t="str">
            <v>Region of the sold-to party (TEXT)</v>
          </cell>
        </row>
        <row r="469">
          <cell r="B469" t="str">
            <v>Reporting Unit, book</v>
          </cell>
          <cell r="C469" t="str">
            <v>REPORTING_UNIT__BOOK</v>
          </cell>
          <cell r="D469" t="str">
            <v>Reporting unit (booked)</v>
          </cell>
          <cell r="E469" t="e">
            <v>#VALUE!</v>
          </cell>
        </row>
        <row r="470">
          <cell r="B470" t="str">
            <v>Reporting Unit, book2</v>
          </cell>
          <cell r="C470" t="str">
            <v>REPORTING_UNIT__BOOK2</v>
          </cell>
          <cell r="D470" t="str">
            <v>Reporting unit (booked) (TEXT)</v>
          </cell>
        </row>
        <row r="471">
          <cell r="B471" t="str">
            <v>SBE</v>
          </cell>
          <cell r="C471" t="str">
            <v>SBE</v>
          </cell>
          <cell r="D471" t="str">
            <v>Strategic Business Entity</v>
          </cell>
          <cell r="E471" t="e">
            <v>#VALUE!</v>
          </cell>
        </row>
        <row r="472">
          <cell r="B472" t="str">
            <v>SBE2</v>
          </cell>
          <cell r="C472" t="str">
            <v>SBE2</v>
          </cell>
          <cell r="D472" t="str">
            <v>Strategic Business Entity (TEXT)</v>
          </cell>
        </row>
        <row r="473">
          <cell r="B473" t="str">
            <v>Ship-to</v>
          </cell>
          <cell r="C473" t="str">
            <v>SHIP_TO</v>
          </cell>
          <cell r="D473" t="str">
            <v>Ship-to party</v>
          </cell>
          <cell r="E473" t="str">
            <v xml:space="preserve">The partner to whom goods are physically delivered (partner function SH). May differ from the sold-to party. Delivery address, shipping conditions and goods recipient data are taken from the customer master. </v>
          </cell>
        </row>
        <row r="474">
          <cell r="B474" t="str">
            <v>Ship-to2</v>
          </cell>
          <cell r="C474" t="str">
            <v>SHIP_TO2</v>
          </cell>
          <cell r="D474" t="str">
            <v>Ship-to party (TEXT)</v>
          </cell>
        </row>
        <row r="475">
          <cell r="B475" t="str">
            <v>ShipTo State/ Province</v>
          </cell>
          <cell r="C475" t="str">
            <v>SHIPTO_STATE__PROVINCE</v>
          </cell>
          <cell r="D475" t="str">
            <v>State / province of the ship-to party</v>
          </cell>
          <cell r="E475" t="str">
            <v>The state or province of the ship-to party from the address master. Relevant for tax assignments (e.g. US sales tax) and regional analyses.</v>
          </cell>
        </row>
        <row r="476">
          <cell r="B476" t="str">
            <v>ShipTo State/ Province2</v>
          </cell>
          <cell r="C476" t="str">
            <v>SHIPTO_STATE__PROVINCE2</v>
          </cell>
          <cell r="D476" t="str">
            <v>State / province of the ship-to party (TEXT)</v>
          </cell>
        </row>
        <row r="477">
          <cell r="B477" t="str">
            <v>Sold-to</v>
          </cell>
          <cell r="C477" t="str">
            <v>SOLD_TO</v>
          </cell>
          <cell r="D477" t="str">
            <v>Sold-to party</v>
          </cell>
          <cell r="E477" t="str">
            <v>The customer who places the order (partner function SP). Central business partner in the order-to-cash process. Pricing conditions, payment terms and customer hierarchies are derived from the sold-to party.</v>
          </cell>
        </row>
        <row r="478">
          <cell r="B478" t="str">
            <v>Sold-to2</v>
          </cell>
          <cell r="C478" t="str">
            <v>SOLD_TO2</v>
          </cell>
          <cell r="D478" t="str">
            <v>Sold-to party (TEXT)</v>
          </cell>
        </row>
        <row r="479">
          <cell r="B479" t="str">
            <v>SoldTo State/ Province</v>
          </cell>
          <cell r="C479" t="str">
            <v>SOLDTO_STATE__PROVINCE</v>
          </cell>
          <cell r="D479" t="str">
            <v>State / province of the sold-to party</v>
          </cell>
          <cell r="E479" t="str">
            <v>The state or province of the sold-to party from the address master. Relevant for tax and regional analyses.</v>
          </cell>
        </row>
        <row r="480">
          <cell r="B480" t="str">
            <v>SoldTo State/ Province2</v>
          </cell>
          <cell r="C480" t="str">
            <v>SOLDTO_STATE__PROVINCE2</v>
          </cell>
          <cell r="D480" t="str">
            <v>State / province of the sold-to party (TEXT)</v>
          </cell>
        </row>
        <row r="481">
          <cell r="B481" t="str">
            <v>Subregion ship-to</v>
          </cell>
          <cell r="C481" t="str">
            <v>SUBREGION_SHIP_TO</v>
          </cell>
          <cell r="D481" t="str">
            <v>Subregion of the ship-to party</v>
          </cell>
          <cell r="E481" t="str">
            <v>An attribute that assigns the ship-to party to a geographic subregion below the main region (e.g. Eastern Europe as a subregion of Europe). Used for detailed geographic sales analyses.</v>
          </cell>
        </row>
        <row r="482">
          <cell r="B482" t="str">
            <v>Subregion ship-to2</v>
          </cell>
          <cell r="C482" t="str">
            <v>SUBREGION_SHIP_TO2</v>
          </cell>
          <cell r="D482" t="str">
            <v>Subregion of the ship-to party (TEXT)</v>
          </cell>
        </row>
        <row r="483">
          <cell r="B483" t="str">
            <v>Subregion sold-to</v>
          </cell>
          <cell r="C483" t="str">
            <v>SUBREGION_SOLD_TO</v>
          </cell>
          <cell r="D483" t="str">
            <v>Subregion of the sold-to party</v>
          </cell>
          <cell r="E483" t="str">
            <v>An attribute that assigns the sold-to party to a geographic subregion. Analogous to Subregion ship-to, but referring to the sold-to party.</v>
          </cell>
        </row>
        <row r="484">
          <cell r="B484" t="str">
            <v>Subregion sold-to2</v>
          </cell>
          <cell r="C484" t="str">
            <v>SUBREGION_SOLD_TO2</v>
          </cell>
          <cell r="D484" t="str">
            <v>Subregion of the sold-to party (TEXT)</v>
          </cell>
        </row>
        <row r="485">
          <cell r="B485" t="str">
            <v>T3 Arr. Date planned</v>
          </cell>
          <cell r="C485" t="str">
            <v>T3_ARR__DATE_PLANNED</v>
          </cell>
          <cell r="D485" t="str">
            <v>T3 planned arrival date</v>
          </cell>
          <cell r="E485" t="str">
            <v>The planned arrival date according to the T3 tracking system. Compared against the actual arrival to identify punctuality deviations.</v>
          </cell>
        </row>
        <row r="486">
          <cell r="B486" t="str">
            <v>T3 Arr. date actual</v>
          </cell>
          <cell r="C486" t="str">
            <v>T3_ARR__DATE_ACTUAL</v>
          </cell>
          <cell r="D486" t="str">
            <v>T3 actual arrival date</v>
          </cell>
          <cell r="E486" t="str">
            <v>The actual arrival date in the T3 tracking system (third-party logistics tracking tool integrated with SAP TM). Indicates when the shipment actually arrived at the destination. Used for OTIF and transport performance analyses.</v>
          </cell>
        </row>
        <row r="487">
          <cell r="B487" t="str">
            <v>T3 Loading Loc. ROI</v>
          </cell>
          <cell r="C487" t="str">
            <v>T3_LOADING_LOC__ROI</v>
          </cell>
          <cell r="D487" t="str">
            <v>T3 loading location ROI</v>
          </cell>
          <cell r="E487" t="str">
            <v>The loading location stored in the T3 system with ROI reference (Region of Interest). Used for tracking and transport analyses within the logistics network.</v>
          </cell>
        </row>
        <row r="488">
          <cell r="B488" t="str">
            <v>T3 Loading Loc. ROI2</v>
          </cell>
          <cell r="C488" t="str">
            <v>T3_LOADING_LOC__ROI2</v>
          </cell>
          <cell r="D488" t="str">
            <v>T3 loading location ROI (TEXT)</v>
          </cell>
        </row>
        <row r="489">
          <cell r="B489" t="str">
            <v>T3 SH Shipper</v>
          </cell>
          <cell r="C489" t="str">
            <v>T3_SH_SHIPPER</v>
          </cell>
          <cell r="D489" t="str">
            <v>T3 shipper</v>
          </cell>
          <cell r="E489" t="str">
            <v>The shipper stored in the T3 tracking system. Identifies the dispatching location or dispatching company within the transport chain.</v>
          </cell>
        </row>
        <row r="490">
          <cell r="B490" t="str">
            <v>T3 SH Shipper2</v>
          </cell>
          <cell r="C490" t="str">
            <v>T3_SH_SHIPPER2</v>
          </cell>
          <cell r="D490" t="str">
            <v>T3 shipper (TEXT)</v>
          </cell>
        </row>
        <row r="491">
          <cell r="B491" t="str">
            <v>TM Destin. Location</v>
          </cell>
          <cell r="C491" t="str">
            <v>TM_DESTIN__LOCATION</v>
          </cell>
          <cell r="D491" t="str">
            <v>TM destination location</v>
          </cell>
          <cell r="E491" t="str">
            <v>The destination location of a freight order in SAP Transportation Management. Indicates the physical receiving location of a delivery (e.g. customer warehouse, port, transshipment point).</v>
          </cell>
        </row>
        <row r="492">
          <cell r="B492" t="str">
            <v>TM Destin. Location2</v>
          </cell>
          <cell r="C492" t="str">
            <v>TM_DESTIN__LOCATION2</v>
          </cell>
          <cell r="D492" t="str">
            <v>TM destination location (TEXT)</v>
          </cell>
        </row>
        <row r="493">
          <cell r="B493" t="str">
            <v>Unpacked good</v>
          </cell>
          <cell r="C493" t="str">
            <v>UNPACKED_GOOD</v>
          </cell>
          <cell r="D493" t="str">
            <v>Unpacked goods</v>
          </cell>
          <cell r="E493" t="str">
            <v>Indicator or description of whether delivered goods are transported unpackaged (e.g. as bulk goods or in tank trucks). Relevant for packaging classification, hazardous goods handling and sustainability reporting.</v>
          </cell>
        </row>
        <row r="494">
          <cell r="B494" t="str">
            <v>Unpacked good2</v>
          </cell>
          <cell r="C494" t="str">
            <v>UNPACKED_GOOD2</v>
          </cell>
          <cell r="D494" t="str">
            <v>Unpacked goods (TEXT)</v>
          </cell>
        </row>
        <row r="495">
          <cell r="B495" t="str">
            <v>KPI OTIF: # OTIF</v>
          </cell>
          <cell r="C495" t="str">
            <v>KPI_OTIF____OTIF</v>
          </cell>
          <cell r="D495" t="str">
            <v>Number of OTIF-compliant deliveries</v>
          </cell>
          <cell r="E495" t="str">
            <v>Number of deliveries that were delivered both on time and in full quantity. Numerator for the OTIF rate. A delivery is only considered OTIF if both conditions are fulfilled simultaneously.</v>
          </cell>
        </row>
        <row r="496">
          <cell r="B496" t="str">
            <v>KPI OTIF: # late GI</v>
          </cell>
          <cell r="C496" t="str">
            <v>KPI_OTIF____LATE_GI</v>
          </cell>
          <cell r="D496" t="str">
            <v>Number of deliveries with late goods issue</v>
          </cell>
          <cell r="E496" t="str">
            <v>Number of deliveries where the actual goods issue (Actual GI Date) occurred after the planned goods issue date (Plan. goods is. date). Identifies delays in the internal dispatch process as a root cause of OTIF deviations.</v>
          </cell>
        </row>
        <row r="497">
          <cell r="B497" t="str">
            <v>KPI OTIF: # late IF</v>
          </cell>
          <cell r="C497" t="str">
            <v>KPI_OTIF____LATE_IF</v>
          </cell>
          <cell r="D497" t="str">
            <v>Number of late and complete deliveries</v>
          </cell>
          <cell r="E497" t="str">
            <v xml:space="preserve">Number of deliveries that were late and delivered in full quantity. </v>
          </cell>
        </row>
        <row r="498">
          <cell r="B498" t="str">
            <v>KPI OTIF: # late NIF</v>
          </cell>
          <cell r="C498" t="str">
            <v>KPI_OTIF____LATE_NIF</v>
          </cell>
          <cell r="D498" t="str">
            <v>Number of late and not-in-full deliveries (NIF)</v>
          </cell>
          <cell r="E498" t="str">
            <v>Number of deliveries that were late and not delivered in full quantity (Not In Full). NIF = Not In Full. Sub-category for combined quantity and schedule deviations in OTIF reporting. Worst-case category in the OTIF framework.</v>
          </cell>
        </row>
        <row r="499">
          <cell r="B499" t="str">
            <v>KPI OTIF: # late create</v>
          </cell>
          <cell r="C499" t="str">
            <v>KPI_OTIF____LATE_CREATE</v>
          </cell>
          <cell r="D499" t="str">
            <v>Number of deliveries with late order creation</v>
          </cell>
          <cell r="E499" t="str">
            <v>Number of deliveries where order creation (Order Creation) occurred too late and thereby contributed to the overall delay. Identifies administrative delays in order management as an OTIF root cause.</v>
          </cell>
        </row>
        <row r="500">
          <cell r="B500" t="str">
            <v>KPI OTIF: # late transport</v>
          </cell>
          <cell r="C500" t="str">
            <v>KPI_OTIF____LATE_TRANSPORT</v>
          </cell>
          <cell r="D500" t="str">
            <v>Number of deliveries with transport delay</v>
          </cell>
          <cell r="E500" t="str">
            <v>Number of deliveries where transport (carrier/freight forwarder) was identified as the cause of the delay. Used for transport service provider evaluation and carrier performance analysis.</v>
          </cell>
        </row>
        <row r="501">
          <cell r="B501" t="str">
            <v>KPI OTIF: # not in full</v>
          </cell>
          <cell r="C501" t="str">
            <v>KPI_OTIF____NOT_IN_FULL</v>
          </cell>
          <cell r="D501" t="str">
            <v>Number of incomplete deliveries</v>
          </cell>
          <cell r="E501" t="str">
            <v>Number of deliveries where the delivered quantity was less than the confirmed/ordered quantity, regardless of delivery timing. Sub-component of the OTIF KPI for identifying quantity shortfalls.</v>
          </cell>
        </row>
        <row r="502">
          <cell r="B502" t="str">
            <v>KPI OTIF: # on time</v>
          </cell>
          <cell r="C502" t="str">
            <v>KPI_OTIF____ON_TIME</v>
          </cell>
          <cell r="D502" t="str">
            <v>Number of on-time deliveries</v>
          </cell>
          <cell r="E502" t="str">
            <v>Number of deliveries that arrived at the customer on or before the agreed delivery date, regardless of the quantity delivered. Sub-component of the OT8IF KPI.</v>
          </cell>
        </row>
        <row r="503">
          <cell r="B503" t="str">
            <v>KPI OTIF: # total deliveries</v>
          </cell>
          <cell r="C503" t="str">
            <v>KPI_OTIF____TOTAL_DELIVERIES</v>
          </cell>
          <cell r="D503" t="str">
            <v>Total number of deliveries</v>
          </cell>
          <cell r="E503" t="str">
            <v>The total number of all evaluated deliveries in the reporting period. Denominator for the calculation of the OTIF rate: OTIF% = # OTIF / # total deliveries × 100.</v>
          </cell>
        </row>
        <row r="504">
          <cell r="B504" t="str">
            <v>KPI OTIF: # total late</v>
          </cell>
          <cell r="C504" t="str">
            <v>KPI_OTIF____TOTAL_LATE</v>
          </cell>
          <cell r="D504" t="str">
            <v>Total number of late deliveries</v>
          </cell>
          <cell r="E504" t="str">
            <v>Total number of all deliveries that arrived at the customer after the agreed delivery date, regardless of quantity completeness.</v>
          </cell>
        </row>
        <row r="505">
          <cell r="B505" t="str">
            <v>KPI OTIF: # total late+OT NIF</v>
          </cell>
          <cell r="C505" t="str">
            <v>KPI_OTIF____TOTAL_LATE_OT_NIF</v>
          </cell>
          <cell r="D505" t="str">
            <v>Total number of late and/or incomplete deliveries</v>
          </cell>
          <cell r="E505" t="str">
            <v>Count of all deliveries that are either late, not in full, or both. Includes Late-In-Full, On-Time-Not-In-Full, and Late-Not-In-Full deliveries. Each delivery is counted only once.</v>
          </cell>
        </row>
        <row r="506">
          <cell r="B506" t="str">
            <v>KPI OTIF: 1. Agreed quantity KG</v>
          </cell>
          <cell r="C506" t="str">
            <v>KPI_OTIF__1__AGREED_QUANTITY_KG</v>
          </cell>
          <cell r="D506" t="str">
            <v>Agreed delivery quantity in KG</v>
          </cell>
          <cell r="E506" t="str">
            <v>The confirmed/agreed delivery quantity in kilograms from the customer order. Reference figure for the In-Full assessment: if the actually delivered quantity is ≥ agreed quantity, the delivery is classified as "In Full".</v>
          </cell>
        </row>
        <row r="507">
          <cell r="B507" t="str">
            <v>KPI OTIF: Delivery Quantity KG</v>
          </cell>
          <cell r="C507" t="str">
            <v>KPI_OTIF__DELIVERY_QUANTITY_KG</v>
          </cell>
          <cell r="D507" t="str">
            <v>Actually delivered quantity in KG</v>
          </cell>
          <cell r="E507" t="str">
            <v>The quantity actually delivered to the customer in kilograms. Compared against the agreed quantity (Agreed Quantity KG) to determine over- or underdeliveries.</v>
          </cell>
        </row>
        <row r="508">
          <cell r="B508" t="str">
            <v>KPI OTIF: Overdelivery KG</v>
          </cell>
          <cell r="C508" t="str">
            <v>KPI_OTIF__OVERDELIVERY_KG</v>
          </cell>
          <cell r="D508" t="str">
            <v>Overdelivery quantity in KG</v>
          </cell>
          <cell r="E508" t="str">
            <v>The quantity in kilograms by which a delivery exceeds the agreed quantity. Positive deviation from the Agreed Quantity. May be classified as OTIF-compliant or non-compliant depending on the customer agreement.</v>
          </cell>
        </row>
        <row r="509">
          <cell r="B509" t="str">
            <v>KPI OTIF: Qty deviation KG</v>
          </cell>
          <cell r="C509" t="str">
            <v>KPI_OTIF__QTY_DEVIATION_KG</v>
          </cell>
          <cell r="D509" t="str">
            <v>Quantity deviation in KG</v>
          </cell>
          <cell r="E509" t="str">
            <v>The absolute difference between the actually delivered quantity and the agreed quantity in kilograms. Positive values indicate overdelivery; negative values indicate underdelivery.</v>
          </cell>
        </row>
        <row r="510">
          <cell r="B510" t="str">
            <v>KPI OTIF: Underdelivery KG</v>
          </cell>
          <cell r="C510" t="str">
            <v>KPI_OTIF__UNDERDELIVERY_KG</v>
          </cell>
          <cell r="D510" t="str">
            <v>Underdelivery quantity in KG</v>
          </cell>
          <cell r="E510" t="str">
            <v>The quantity in kilograms by which a delivery falls short of the agreed quantity. Negative deviation from the Agreed Quantity. Leads to classification as "Not In Full" and thus to an OTIF failure.</v>
          </cell>
        </row>
        <row r="511">
          <cell r="B511" t="str">
            <v>Act. GI Day</v>
          </cell>
          <cell r="C511" t="str">
            <v>ACT__GI_DAY</v>
          </cell>
          <cell r="D511" t="str">
            <v>Actual goods issue date</v>
          </cell>
          <cell r="E511" t="e">
            <v>#VALUE!</v>
          </cell>
        </row>
        <row r="512">
          <cell r="B512" t="str">
            <v>Actual delivery date</v>
          </cell>
          <cell r="C512" t="str">
            <v>ACTUAL_DELIVERY_DATE</v>
          </cell>
          <cell r="D512" t="str">
            <v>Actual delivery date</v>
          </cell>
          <cell r="E512" t="str">
            <v>The actual date on which goods arrived at the recipient (customer/plant) or are considered delivered. Recorded in the outbound delivery document and used as the actual value for OTIF measurements. May differ from the planned delivery date.</v>
          </cell>
        </row>
        <row r="513">
          <cell r="B513" t="str">
            <v>BG, booked</v>
          </cell>
          <cell r="C513" t="str">
            <v>BG__BOOKED</v>
          </cell>
          <cell r="D513" t="str">
            <v>Booked business group</v>
          </cell>
          <cell r="E513" t="str">
            <v>Indicator for the booked business group (BG) of a document. Used in profitability analysis (CO-PA) and reporting to delimit booking units within a company code.</v>
          </cell>
        </row>
        <row r="514">
          <cell r="B514" t="str">
            <v>BG, booked2</v>
          </cell>
          <cell r="C514" t="str">
            <v>BG__BOOKED2</v>
          </cell>
          <cell r="D514" t="str">
            <v>Booked business group (TEXT)</v>
          </cell>
        </row>
        <row r="515">
          <cell r="B515" t="str">
            <v>Company Code</v>
          </cell>
          <cell r="C515" t="str">
            <v>COMPANY_CODE</v>
          </cell>
          <cell r="D515" t="str">
            <v>Company code</v>
          </cell>
          <cell r="E515" t="e">
            <v>#VALUE!</v>
          </cell>
        </row>
        <row r="516">
          <cell r="B516" t="str">
            <v>Company Code2</v>
          </cell>
          <cell r="C516" t="str">
            <v>COMPANY_CODE2</v>
          </cell>
          <cell r="D516" t="str">
            <v>Company code (TEXT)</v>
          </cell>
        </row>
        <row r="517">
          <cell r="B517" t="str">
            <v>Core Business Indicator</v>
          </cell>
          <cell r="C517" t="str">
            <v>CORE_BUSINESS_INDICATOR</v>
          </cell>
          <cell r="D517" t="str">
            <v>Core business indicator</v>
          </cell>
          <cell r="E517" t="e">
            <v>#VALUE!</v>
          </cell>
        </row>
        <row r="518">
          <cell r="B518" t="str">
            <v>Core Business Indicator2</v>
          </cell>
          <cell r="C518" t="str">
            <v>CORE_BUSINESS_INDICATOR2</v>
          </cell>
          <cell r="D518" t="str">
            <v>Core business indicator (TEXT)</v>
          </cell>
        </row>
        <row r="519">
          <cell r="B519" t="str">
            <v>Country ship-to</v>
          </cell>
          <cell r="C519" t="str">
            <v>COUNTRY_SHIP_TO</v>
          </cell>
          <cell r="D519" t="str">
            <v>Country of the ship-to party</v>
          </cell>
          <cell r="E519" t="str">
            <v>The country of the ship-to partner (goods recipient) from the customer master. Used for geographic analyses, foreign trade statistics and export controls. Part of the customer attributes in SAP S/4HANA (Ship-to Country).</v>
          </cell>
        </row>
        <row r="520">
          <cell r="B520" t="str">
            <v>Country ship-to2</v>
          </cell>
          <cell r="C520" t="str">
            <v>COUNTRY_SHIP_TO2</v>
          </cell>
          <cell r="D520" t="str">
            <v>Country of the ship-to party (TEXT)</v>
          </cell>
        </row>
        <row r="521">
          <cell r="B521" t="str">
            <v>Country sold-to</v>
          </cell>
          <cell r="C521" t="str">
            <v>COUNTRY_SOLD_TO</v>
          </cell>
          <cell r="D521" t="str">
            <v>Country of the sold-to party</v>
          </cell>
          <cell r="E521" t="str">
            <v>The country of the sold-to partner (ordering customer) from the customer master. Used for geographic sales analyses. Part of the customer attributes in SAP S/4HANA (Sold-to Country).</v>
          </cell>
        </row>
        <row r="522">
          <cell r="B522" t="str">
            <v>Country sold-to2</v>
          </cell>
          <cell r="C522" t="str">
            <v>COUNTRY_SOLD_TO2</v>
          </cell>
          <cell r="D522" t="str">
            <v>Country of the sold-to party (TEXT)</v>
          </cell>
        </row>
        <row r="523">
          <cell r="B523" t="str">
            <v>Created on</v>
          </cell>
          <cell r="C523" t="str">
            <v>CREATED_ON</v>
          </cell>
          <cell r="D523" t="str">
            <v>Creation date</v>
          </cell>
          <cell r="E523" t="str">
            <v>The date on which a document (e.g. order, delivery) was created in the system. Serves as a timestamp for document history and as a filter characteristic in reporting.</v>
          </cell>
        </row>
        <row r="524">
          <cell r="B524" t="str">
            <v>Cust Hier1</v>
          </cell>
          <cell r="C524" t="str">
            <v>CUST_HIER1</v>
          </cell>
          <cell r="D524" t="str">
            <v>Customer hierarchy level 1</v>
          </cell>
          <cell r="E524" t="e">
            <v>#VALUE!</v>
          </cell>
        </row>
        <row r="525">
          <cell r="B525" t="str">
            <v>Cust Hier12</v>
          </cell>
          <cell r="C525" t="str">
            <v>CUST_HIER12</v>
          </cell>
          <cell r="D525" t="str">
            <v>Customer hierarchy level 1 (TEXT)</v>
          </cell>
        </row>
        <row r="526">
          <cell r="B526" t="str">
            <v>Cust Hier2</v>
          </cell>
          <cell r="C526" t="str">
            <v>CUST_HIER2</v>
          </cell>
          <cell r="D526" t="str">
            <v>Customer hierarchy level 2</v>
          </cell>
          <cell r="E526" t="str">
            <v>Second level of the customer hierarchy. Typically represents an intermediate level (e.g. regional subsidiary) within the customer hierarchy.</v>
          </cell>
        </row>
        <row r="527">
          <cell r="B527" t="str">
            <v>Cust Hier22</v>
          </cell>
          <cell r="C527" t="str">
            <v>CUST_HIER22</v>
          </cell>
          <cell r="D527" t="str">
            <v>Customer hierarchy level 2 (TEXT)</v>
          </cell>
        </row>
        <row r="528">
          <cell r="B528" t="str">
            <v>Cust Hier3</v>
          </cell>
          <cell r="C528" t="str">
            <v>CUST_HIER3</v>
          </cell>
          <cell r="D528" t="str">
            <v>Customer hierarchy level 3</v>
          </cell>
          <cell r="E528" t="str">
            <v>Third level of the customer hierarchy. Represents the lowest standard hierarchy level (e.g. individual branch or subsidiary of the customer).</v>
          </cell>
        </row>
        <row r="529">
          <cell r="B529" t="str">
            <v>Cust Hier32</v>
          </cell>
          <cell r="C529" t="str">
            <v>CUST_HIER32</v>
          </cell>
          <cell r="D529" t="str">
            <v>Customer hierarchy level 3 (TEXT)</v>
          </cell>
        </row>
        <row r="530">
          <cell r="B530" t="str">
            <v>Customer Cluster</v>
          </cell>
          <cell r="C530" t="str">
            <v>CUSTOMER_CLUSTER</v>
          </cell>
          <cell r="D530" t="str">
            <v>Customer cluster</v>
          </cell>
          <cell r="E530" t="str">
            <v>An attribute for grouping customers by strategic or analytical criteria (e.g. size, potential, industry). Used in sales controlling and segmentation analysis.</v>
          </cell>
        </row>
        <row r="531">
          <cell r="B531" t="str">
            <v>Customer Cluster2</v>
          </cell>
          <cell r="C531" t="str">
            <v>CUSTOMER_CLUSTER2</v>
          </cell>
          <cell r="D531" t="str">
            <v>Customer cluster (TEXT)</v>
          </cell>
        </row>
        <row r="532">
          <cell r="B532" t="str">
            <v>Delivery date plann.</v>
          </cell>
          <cell r="C532" t="str">
            <v>DELIVERY_DATE_PLANN_</v>
          </cell>
          <cell r="D532" t="str">
            <v>Planned delivery date</v>
          </cell>
          <cell r="E532" t="str">
            <v>The planned date resulting from delivery scheduling on which goods are expected to arrive at the customer. Calculated backwards from the customer-requested delivery date, taking into account transit times, loading times and material availability.</v>
          </cell>
        </row>
        <row r="533">
          <cell r="B533" t="str">
            <v>Document currency</v>
          </cell>
          <cell r="C533" t="str">
            <v>DOCUMENT_CURRENCY</v>
          </cell>
          <cell r="D533" t="str">
            <v>Document currency</v>
          </cell>
          <cell r="E533" t="e">
            <v>#VALUE!</v>
          </cell>
        </row>
        <row r="534">
          <cell r="B534" t="str">
            <v>Document currency2</v>
          </cell>
          <cell r="C534" t="str">
            <v>DOCUMENT_CURRENCY2</v>
          </cell>
          <cell r="D534" t="str">
            <v>Document currency (TEXT)</v>
          </cell>
        </row>
        <row r="535">
          <cell r="B535" t="str">
            <v>Extern. Sales Office</v>
          </cell>
          <cell r="C535" t="str">
            <v>EXTERN__SALES_OFFICE</v>
          </cell>
          <cell r="D535" t="str">
            <v>External sales office code</v>
          </cell>
          <cell r="E535" t="e">
            <v>#VALUE!</v>
          </cell>
        </row>
        <row r="536">
          <cell r="B536" t="str">
            <v>Extern. Sales Office2</v>
          </cell>
          <cell r="C536" t="str">
            <v>EXTERN__SALES_OFFICE2</v>
          </cell>
          <cell r="D536" t="str">
            <v>External sales office code (TEXT)</v>
          </cell>
        </row>
        <row r="537">
          <cell r="B537" t="str">
            <v>Int. Sales Group</v>
          </cell>
          <cell r="C537" t="str">
            <v>INT__SALES_GROUP</v>
          </cell>
          <cell r="D537" t="str">
            <v>Internal sales group</v>
          </cell>
          <cell r="E537" t="str">
            <v xml:space="preserve">An internal sales group is a sub-unit of a sales office. Employees are assigned to sales groups; a group is responsible for all line items in a sales document. </v>
          </cell>
        </row>
        <row r="538">
          <cell r="B538" t="str">
            <v>Int. Sales Group2</v>
          </cell>
          <cell r="C538" t="str">
            <v>INT__SALES_GROUP2</v>
          </cell>
          <cell r="D538" t="str">
            <v>Internal sales group (TEXT)</v>
          </cell>
        </row>
        <row r="539">
          <cell r="B539" t="str">
            <v>Int. Sales office</v>
          </cell>
          <cell r="C539" t="str">
            <v>INT__SALES_OFFICE</v>
          </cell>
          <cell r="D539" t="str">
            <v>Internal sales office</v>
          </cell>
          <cell r="E539" t="str">
            <v>The internal sales office is assigned to one or more sales areas and can be subdivided into several sales groups.</v>
          </cell>
        </row>
        <row r="540">
          <cell r="B540" t="str">
            <v>Int. Sales office2</v>
          </cell>
          <cell r="C540" t="str">
            <v>INT__SALES_OFFICE2</v>
          </cell>
          <cell r="D540" t="str">
            <v>Internal sales office (TEXT)</v>
          </cell>
        </row>
        <row r="541">
          <cell r="B541" t="str">
            <v>Key Industry</v>
          </cell>
          <cell r="C541" t="str">
            <v>KEY_INDUSTRY</v>
          </cell>
          <cell r="D541" t="str">
            <v>Key industry</v>
          </cell>
          <cell r="E541" t="str">
            <v>An attribute that classifies the target industry of a customer or product (e.g. Automotive, Construction, Electronics). Used for market and industry segmentation in sales reporting.</v>
          </cell>
        </row>
        <row r="542">
          <cell r="B542" t="str">
            <v>Key Industry2</v>
          </cell>
          <cell r="C542" t="str">
            <v>KEY_INDUSTRY2</v>
          </cell>
          <cell r="D542" t="str">
            <v>Key industry (TEXT)</v>
          </cell>
        </row>
        <row r="543">
          <cell r="B543" t="str">
            <v>Marketing Customer ship-to</v>
          </cell>
          <cell r="C543" t="str">
            <v>MARKETING_CUSTOMER_SHIP_TO</v>
          </cell>
          <cell r="D543" t="str">
            <v>Marketing customer (ship-to)</v>
          </cell>
          <cell r="E543" t="str">
            <v xml:space="preserve">An attribute in the customer master that assigns the ship-to party to a higher-level marketing customer. </v>
          </cell>
        </row>
        <row r="544">
          <cell r="B544" t="str">
            <v>Marketing Customer ship-to2</v>
          </cell>
          <cell r="C544" t="str">
            <v>MARKETING_CUSTOMER_SHIP_TO2</v>
          </cell>
          <cell r="D544" t="str">
            <v>Marketing customer (ship-to) (TEXT)</v>
          </cell>
        </row>
        <row r="545">
          <cell r="B545" t="str">
            <v>Marketing Customer sold-to</v>
          </cell>
          <cell r="C545" t="str">
            <v>MARKETING_CUSTOMER_SOLD_TO</v>
          </cell>
          <cell r="D545" t="str">
            <v>Marketing customer (sold-to)</v>
          </cell>
          <cell r="E545" t="str">
            <v>An attribute in the customer master that assigns the sold-to party to a higher-level marketing customer.</v>
          </cell>
        </row>
        <row r="546">
          <cell r="B546" t="str">
            <v>Marketing Customer sold-to2</v>
          </cell>
          <cell r="C546" t="str">
            <v>MARKETING_CUSTOMER_SOLD_TO2</v>
          </cell>
          <cell r="D546" t="str">
            <v>Marketing customer (sold-to) (TEXT)</v>
          </cell>
        </row>
        <row r="547">
          <cell r="B547" t="str">
            <v>Marketing Level 0</v>
          </cell>
          <cell r="C547" t="str">
            <v>MARKETING_LEVEL_0</v>
          </cell>
          <cell r="D547" t="str">
            <v>Marketing level 0 (top level)</v>
          </cell>
          <cell r="E547" t="str">
            <v>Highest level of the internal marketing hierarchy. Typically corresponds to the reportable segment (e.g. "Performance Materials" or "Solutions &amp; Specialties"). Serves as the highest aggregation level in product portfolio reporting.</v>
          </cell>
        </row>
        <row r="548">
          <cell r="B548" t="str">
            <v>Marketing Level 02</v>
          </cell>
          <cell r="C548" t="str">
            <v>MARKETING_LEVEL_02</v>
          </cell>
          <cell r="D548" t="str">
            <v>Marketing level 0 (top level) (TEXT)</v>
          </cell>
        </row>
        <row r="549">
          <cell r="B549" t="str">
            <v>Marketing Level 1</v>
          </cell>
          <cell r="C549" t="str">
            <v>MARKETING_LEVEL_1</v>
          </cell>
          <cell r="D549" t="str">
            <v>Marketing level 1</v>
          </cell>
          <cell r="E549" t="str">
            <v>Second level of the internal marketing hierarchy. Subdivides the reportable segment into strategic product groups or business entities.</v>
          </cell>
        </row>
        <row r="550">
          <cell r="B550" t="str">
            <v>Marketing Level 12</v>
          </cell>
          <cell r="C550" t="str">
            <v>MARKETING_LEVEL_12</v>
          </cell>
          <cell r="D550" t="str">
            <v>Marketing level 1 (TEXT)</v>
          </cell>
        </row>
        <row r="551">
          <cell r="B551" t="str">
            <v>Marketing Level 2</v>
          </cell>
          <cell r="C551" t="str">
            <v>MARKETING_LEVEL_2</v>
          </cell>
          <cell r="D551" t="str">
            <v>Marketing level 2</v>
          </cell>
          <cell r="E551" t="str">
            <v>Third level of the internal marketing hierarchy. Represents a further subdivision of Marketing Level 1 groups, e.g. by product lines or application areas.</v>
          </cell>
        </row>
        <row r="552">
          <cell r="B552" t="str">
            <v>Marketing Level 22</v>
          </cell>
          <cell r="C552" t="str">
            <v>MARKETING_LEVEL_22</v>
          </cell>
          <cell r="D552" t="str">
            <v>Marketing level 2 (TEXT)</v>
          </cell>
        </row>
        <row r="553">
          <cell r="B553" t="str">
            <v>Marketing Level 3</v>
          </cell>
          <cell r="C553" t="str">
            <v>MARKETING_LEVEL_3</v>
          </cell>
          <cell r="D553" t="str">
            <v>Marketing level 3</v>
          </cell>
          <cell r="E553" t="str">
            <v>Fourth level of the internal marketing hierarchy. Further detail breakdown below Marketing Level 2, e.g. by product types or market segments.</v>
          </cell>
        </row>
        <row r="554">
          <cell r="B554" t="str">
            <v>Marketing Level 32</v>
          </cell>
          <cell r="C554" t="str">
            <v>MARKETING_LEVEL_32</v>
          </cell>
          <cell r="D554" t="str">
            <v>Marketing level 3 (TEXT)</v>
          </cell>
        </row>
        <row r="555">
          <cell r="B555" t="str">
            <v>Marketing Level 4</v>
          </cell>
          <cell r="C555" t="str">
            <v>MARKETING_LEVEL_4</v>
          </cell>
          <cell r="D555" t="str">
            <v>Marketing level 4 (lowest level)</v>
          </cell>
          <cell r="E555" t="str">
            <v>Lowest level of the internal marketing hierarchy. Represents the most granular classification in the marketing product tree, e.g. individual product grades or specifications.</v>
          </cell>
        </row>
        <row r="556">
          <cell r="B556" t="str">
            <v>Marketing Level 42</v>
          </cell>
          <cell r="C556" t="str">
            <v>MARKETING_LEVEL_42</v>
          </cell>
          <cell r="D556" t="str">
            <v>Marketing level 4 (lowest level) (TEXT)</v>
          </cell>
        </row>
        <row r="557">
          <cell r="B557" t="str">
            <v>Material</v>
          </cell>
          <cell r="C557" t="str">
            <v>MATERIAL</v>
          </cell>
          <cell r="D557" t="str">
            <v>Material number</v>
          </cell>
          <cell r="E557" t="str">
            <v xml:space="preserve">The unique alphanumeric identifier of a material (product, raw material, semi-finished good) in the SAP system. Central master data object to which all logistical and accounting transactions are assigned. </v>
          </cell>
        </row>
        <row r="558">
          <cell r="B558" t="str">
            <v>Material2</v>
          </cell>
          <cell r="C558" t="str">
            <v>MATERIAL2</v>
          </cell>
          <cell r="D558" t="str">
            <v>Material number (TEXT)</v>
          </cell>
        </row>
        <row r="559">
          <cell r="B559" t="str">
            <v>PH3 Cluster</v>
          </cell>
          <cell r="C559" t="str">
            <v>PH3_CLUSTER</v>
          </cell>
          <cell r="D559" t="str">
            <v>Product hierarchy level 3 cluster</v>
          </cell>
          <cell r="E559" t="str">
            <v>A grouping based on the third product hierarchy level (PH3). Aggregates product groups into strategic clusters used for sales and planning analyses. Example cluster: ACR for acrylate product groups.</v>
          </cell>
        </row>
        <row r="560">
          <cell r="B560" t="str">
            <v>PH3 Cluster2</v>
          </cell>
          <cell r="C560" t="str">
            <v>PH3_CLUSTER2</v>
          </cell>
          <cell r="D560" t="str">
            <v>Product hierarchy level 3 cluster (TEXT)</v>
          </cell>
        </row>
        <row r="561">
          <cell r="B561" t="str">
            <v>Plan. goods is. date</v>
          </cell>
          <cell r="C561" t="str">
            <v>PLAN__GOODS_IS__DATE</v>
          </cell>
          <cell r="D561" t="str">
            <v>Planned goods issue date</v>
          </cell>
          <cell r="E561" t="str">
            <v>The planned date for the goods issue from the delivering plant. Calculated backwards from the delivery date in delivery scheduling, taking into account transit time and loading time. Basis for OTIF measurement (planned GI date vs. actual GI date).</v>
          </cell>
        </row>
        <row r="562">
          <cell r="B562" t="str">
            <v>Plant</v>
          </cell>
          <cell r="C562" t="str">
            <v>PLANT</v>
          </cell>
          <cell r="D562" t="str">
            <v>Plant</v>
          </cell>
          <cell r="E562" t="str">
            <v xml:space="preserve">A plant is an organizational unit within logistics that represents the location of a production facility, storage location or service provision. All material stocks, production orders and deliveries are assigned to a plant. </v>
          </cell>
        </row>
        <row r="563">
          <cell r="B563" t="str">
            <v>Plant2</v>
          </cell>
          <cell r="C563" t="str">
            <v>PLANT2</v>
          </cell>
          <cell r="D563" t="str">
            <v>Plant (TEXT)</v>
          </cell>
        </row>
        <row r="564">
          <cell r="B564" t="str">
            <v>Prod.Hier.1</v>
          </cell>
          <cell r="C564" t="str">
            <v>PROD_HIER_1</v>
          </cell>
          <cell r="D564" t="str">
            <v>Product hierarchy level 1</v>
          </cell>
          <cell r="E564" t="str">
            <v>First (highest) level of the product hierarchy used for high-level product grouping. An alphanumeric character string that groups materials by overarching characteristics (e.g. product division).</v>
          </cell>
        </row>
        <row r="565">
          <cell r="B565" t="str">
            <v>Prod.Hier.12</v>
          </cell>
          <cell r="C565" t="str">
            <v>PROD_HIER_12</v>
          </cell>
          <cell r="D565" t="str">
            <v>Product hierarchy level 1 (TEXT)</v>
          </cell>
        </row>
        <row r="566">
          <cell r="B566" t="str">
            <v>Prod.Hier.2</v>
          </cell>
          <cell r="C566" t="str">
            <v>PROD_HIER_2</v>
          </cell>
          <cell r="D566" t="str">
            <v>Product hierarchy level 2</v>
          </cell>
          <cell r="E566" t="str">
            <v xml:space="preserve">Second level of the product hierarchy. Subdivides the first level into product categories. </v>
          </cell>
        </row>
        <row r="567">
          <cell r="B567" t="str">
            <v>Prod.Hier.22</v>
          </cell>
          <cell r="C567" t="str">
            <v>PROD_HIER_22</v>
          </cell>
          <cell r="D567" t="str">
            <v>Product hierarchy level 2 (TEXT)</v>
          </cell>
        </row>
        <row r="568">
          <cell r="B568" t="str">
            <v>Prod.Hier.3</v>
          </cell>
          <cell r="C568" t="str">
            <v>PROD_HIER_3</v>
          </cell>
          <cell r="D568" t="str">
            <v>Product hierarchy level 3</v>
          </cell>
          <cell r="E568" t="str">
            <v xml:space="preserve">Third level of the  product hierarchy. Represents the product subcategory or product type. </v>
          </cell>
        </row>
        <row r="569">
          <cell r="B569" t="str">
            <v>Prod.Hier.32</v>
          </cell>
          <cell r="C569" t="str">
            <v>PROD_HIER_32</v>
          </cell>
          <cell r="D569" t="str">
            <v>Product hierarchy level 3 (TEXT)</v>
          </cell>
        </row>
        <row r="570">
          <cell r="B570" t="str">
            <v>Prod.Hier.4</v>
          </cell>
          <cell r="C570" t="str">
            <v>PROD_HIER_4</v>
          </cell>
          <cell r="D570" t="str">
            <v>Product hierarchy level 4</v>
          </cell>
          <cell r="E570" t="str">
            <v>Fourth level of the product hierarchy used for more detailed product classifications.</v>
          </cell>
        </row>
        <row r="571">
          <cell r="B571" t="str">
            <v>Prod.Hier.42</v>
          </cell>
          <cell r="C571" t="str">
            <v>PROD_HIER_42</v>
          </cell>
          <cell r="D571" t="str">
            <v>Product hierarchy level 4 (TEXT)</v>
          </cell>
        </row>
        <row r="572">
          <cell r="B572" t="str">
            <v>Prod.Hier.5</v>
          </cell>
          <cell r="C572" t="str">
            <v>PROD_HIER_5</v>
          </cell>
          <cell r="D572" t="str">
            <v>Product hierarchy level 5</v>
          </cell>
          <cell r="E572" t="str">
            <v>Fifth level of the product hierarchy used for more granular product group analyses (not used anymore)</v>
          </cell>
        </row>
        <row r="573">
          <cell r="B573" t="str">
            <v>Prod.Hier.52</v>
          </cell>
          <cell r="C573" t="str">
            <v>PROD_HIER_52</v>
          </cell>
          <cell r="D573" t="str">
            <v>Product hierarchy level 5 (TEXT)</v>
          </cell>
        </row>
        <row r="574">
          <cell r="B574" t="str">
            <v>Prod.Hier.6</v>
          </cell>
          <cell r="C574" t="str">
            <v>PROD_HIER_6</v>
          </cell>
          <cell r="D574" t="str">
            <v>Product hierarchy level 6</v>
          </cell>
          <cell r="E574" t="str">
            <v>Sixth and lowest level of the product hierarchy at individual product or grade level for detailed product reporting. (not used anymore)</v>
          </cell>
        </row>
        <row r="575">
          <cell r="B575" t="str">
            <v>Prod.Hier.62</v>
          </cell>
          <cell r="C575" t="str">
            <v>PROD_HIER_62</v>
          </cell>
          <cell r="D575" t="str">
            <v>Product hierarchy level 6 (TEXT)</v>
          </cell>
        </row>
        <row r="576">
          <cell r="B576" t="str">
            <v>Prod.Hier.622</v>
          </cell>
          <cell r="C576" t="str">
            <v>PROD_HIER_622</v>
          </cell>
          <cell r="D576" t="str">
            <v>Product hierarchy level 622</v>
          </cell>
        </row>
        <row r="577">
          <cell r="B577" t="str">
            <v>Prod.Hier.6222</v>
          </cell>
          <cell r="C577" t="str">
            <v>PROD_HIER_6222</v>
          </cell>
          <cell r="D577" t="str">
            <v>Product hierarchy level 6222 (TEXT)</v>
          </cell>
        </row>
        <row r="578">
          <cell r="B578" t="str">
            <v>Produced Material</v>
          </cell>
          <cell r="C578" t="str">
            <v>PRODUCED_MATERIAL</v>
          </cell>
          <cell r="D578" t="str">
            <v>Produced material</v>
          </cell>
          <cell r="E578" t="e">
            <v>#VALUE!</v>
          </cell>
        </row>
        <row r="579">
          <cell r="B579" t="str">
            <v>Produced Material2</v>
          </cell>
          <cell r="C579" t="str">
            <v>PRODUCED_MATERIAL2</v>
          </cell>
          <cell r="D579" t="str">
            <v>Produced material (TEXT)</v>
          </cell>
        </row>
        <row r="580">
          <cell r="B580" t="str">
            <v>Region ship-to</v>
          </cell>
          <cell r="C580" t="str">
            <v>REGION_SHIP_TO</v>
          </cell>
          <cell r="D580" t="str">
            <v>Region of the ship-to party</v>
          </cell>
          <cell r="E580" t="str">
            <v>The geographic region (e.g. state, province) of the ship-to party. Derived from the customer address master and used for regional sales analyses.</v>
          </cell>
        </row>
        <row r="581">
          <cell r="B581" t="str">
            <v>Region ship-to2</v>
          </cell>
          <cell r="C581" t="str">
            <v>REGION_SHIP_TO2</v>
          </cell>
          <cell r="D581" t="str">
            <v>Region of the ship-to party (TEXT)</v>
          </cell>
        </row>
        <row r="582">
          <cell r="B582" t="str">
            <v>Region sold-to</v>
          </cell>
          <cell r="C582" t="str">
            <v>REGION_SOLD_TO</v>
          </cell>
          <cell r="D582" t="str">
            <v>Region of the sold-to party</v>
          </cell>
          <cell r="E582" t="str">
            <v>The geographic region of the sold-to party. Derived from the customer address master and used for regional sales analyses.</v>
          </cell>
        </row>
        <row r="583">
          <cell r="B583" t="str">
            <v>Region sold-to2</v>
          </cell>
          <cell r="C583" t="str">
            <v>REGION_SOLD_TO2</v>
          </cell>
          <cell r="D583" t="str">
            <v>Region of the sold-to party (TEXT)</v>
          </cell>
        </row>
        <row r="584">
          <cell r="B584" t="str">
            <v>Reporting Unit, book</v>
          </cell>
          <cell r="C584" t="str">
            <v>REPORTING_UNIT__BOOK</v>
          </cell>
          <cell r="D584" t="str">
            <v>Reporting unit (booked)</v>
          </cell>
          <cell r="E584" t="e">
            <v>#VALUE!</v>
          </cell>
        </row>
        <row r="585">
          <cell r="B585" t="str">
            <v>Reporting Unit, book2</v>
          </cell>
          <cell r="C585" t="str">
            <v>REPORTING_UNIT__BOOK2</v>
          </cell>
          <cell r="D585" t="str">
            <v>Reporting unit (booked) (TEXT)</v>
          </cell>
        </row>
        <row r="586">
          <cell r="B586" t="str">
            <v>SBE</v>
          </cell>
          <cell r="C586" t="str">
            <v>SBE</v>
          </cell>
          <cell r="D586" t="str">
            <v>Strategic Business Entity</v>
          </cell>
          <cell r="E586" t="e">
            <v>#VALUE!</v>
          </cell>
        </row>
        <row r="587">
          <cell r="B587" t="str">
            <v>SBE2</v>
          </cell>
          <cell r="C587" t="str">
            <v>SBE2</v>
          </cell>
          <cell r="D587" t="str">
            <v>Strategic Business Entity (TEXT)</v>
          </cell>
        </row>
        <row r="588">
          <cell r="B588" t="str">
            <v>Ship-to</v>
          </cell>
          <cell r="C588" t="str">
            <v>SHIP_TO</v>
          </cell>
          <cell r="D588" t="str">
            <v>Ship-to party</v>
          </cell>
          <cell r="E588" t="str">
            <v xml:space="preserve">The partner to whom goods are physically delivered (partner function SH). May differ from the sold-to party. Delivery address, shipping conditions and goods recipient data are taken from the customer master. </v>
          </cell>
        </row>
        <row r="589">
          <cell r="B589" t="str">
            <v>Ship-to2</v>
          </cell>
          <cell r="C589" t="str">
            <v>SHIP_TO2</v>
          </cell>
          <cell r="D589" t="str">
            <v>Ship-to party (TEXT)</v>
          </cell>
        </row>
        <row r="590">
          <cell r="B590" t="str">
            <v>ShipTo State/ Province</v>
          </cell>
          <cell r="C590" t="str">
            <v>SHIPTO_STATE__PROVINCE</v>
          </cell>
          <cell r="D590" t="str">
            <v>State / province of the ship-to party</v>
          </cell>
          <cell r="E590" t="str">
            <v>The state or province of the ship-to party from the address master. Relevant for tax assignments (e.g. US sales tax) and regional analyses.</v>
          </cell>
        </row>
        <row r="591">
          <cell r="B591" t="str">
            <v>ShipTo State/ Province2</v>
          </cell>
          <cell r="C591" t="str">
            <v>SHIPTO_STATE__PROVINCE2</v>
          </cell>
          <cell r="D591" t="str">
            <v>State / province of the ship-to party (TEXT)</v>
          </cell>
        </row>
        <row r="592">
          <cell r="B592" t="str">
            <v>Sold-to</v>
          </cell>
          <cell r="C592" t="str">
            <v>SOLD_TO</v>
          </cell>
          <cell r="D592" t="str">
            <v>Sold-to party</v>
          </cell>
          <cell r="E592" t="str">
            <v>The customer who places the order (partner function SP). Central business partner in the order-to-cash process. Pricing conditions, payment terms and customer hierarchies are derived from the sold-to party.</v>
          </cell>
        </row>
        <row r="593">
          <cell r="B593" t="str">
            <v>Sold-to2</v>
          </cell>
          <cell r="C593" t="str">
            <v>SOLD_TO2</v>
          </cell>
          <cell r="D593" t="str">
            <v>Sold-to party (TEXT)</v>
          </cell>
        </row>
        <row r="594">
          <cell r="B594" t="str">
            <v>SoldTo State/ Province</v>
          </cell>
          <cell r="C594" t="str">
            <v>SOLDTO_STATE__PROVINCE</v>
          </cell>
          <cell r="D594" t="str">
            <v>State / province of the sold-to party</v>
          </cell>
          <cell r="E594" t="str">
            <v>The state or province of the sold-to party from the address master. Relevant for tax and regional analyses.</v>
          </cell>
        </row>
        <row r="595">
          <cell r="B595" t="str">
            <v>SoldTo State/ Province2</v>
          </cell>
          <cell r="C595" t="str">
            <v>SOLDTO_STATE__PROVINCE2</v>
          </cell>
          <cell r="D595" t="str">
            <v>State / province of the sold-to party (TEXT)</v>
          </cell>
        </row>
        <row r="596">
          <cell r="B596" t="str">
            <v>Subregion ship-to</v>
          </cell>
          <cell r="C596" t="str">
            <v>SUBREGION_SHIP_TO</v>
          </cell>
          <cell r="D596" t="str">
            <v>Subregion of the ship-to party</v>
          </cell>
          <cell r="E596" t="str">
            <v>An attribute that assigns the ship-to party to a geographic subregion below the main region (e.g. Eastern Europe as a subregion of Europe). Used for detailed geographic sales analyses.</v>
          </cell>
        </row>
        <row r="597">
          <cell r="B597" t="str">
            <v>Subregion ship-to2</v>
          </cell>
          <cell r="C597" t="str">
            <v>SUBREGION_SHIP_TO2</v>
          </cell>
          <cell r="D597" t="str">
            <v>Subregion of the ship-to party (TEXT)</v>
          </cell>
        </row>
        <row r="598">
          <cell r="B598" t="str">
            <v>Subregion sold-to</v>
          </cell>
          <cell r="C598" t="str">
            <v>SUBREGION_SOLD_TO</v>
          </cell>
          <cell r="D598" t="str">
            <v>Subregion of the sold-to party</v>
          </cell>
          <cell r="E598" t="str">
            <v>An attribute that assigns the sold-to party to a geographic subregion. Analogous to Subregion ship-to, but referring to the sold-to party.</v>
          </cell>
        </row>
        <row r="599">
          <cell r="B599" t="str">
            <v>Subregion sold-to2</v>
          </cell>
          <cell r="C599" t="str">
            <v>SUBREGION_SOLD_TO2</v>
          </cell>
          <cell r="D599" t="str">
            <v>Subregion of the sold-to party (TEXT)</v>
          </cell>
        </row>
        <row r="600">
          <cell r="B600" t="str">
            <v>Unpacked good</v>
          </cell>
          <cell r="C600" t="str">
            <v>UNPACKED_GOOD</v>
          </cell>
          <cell r="D600" t="str">
            <v>Unpacked goods</v>
          </cell>
          <cell r="E600" t="str">
            <v>Indicator or description of whether delivered goods are transported unpackaged (e.g. as bulk goods or in tank trucks). Relevant for packaging classification, hazardous goods handling and sustainability reporting.</v>
          </cell>
        </row>
        <row r="601">
          <cell r="B601" t="str">
            <v>Unpacked good2</v>
          </cell>
          <cell r="C601" t="str">
            <v>UNPACKED_GOOD2</v>
          </cell>
          <cell r="D601" t="str">
            <v>Unpacked goods (TEXT)</v>
          </cell>
        </row>
        <row r="602">
          <cell r="B602" t="str">
            <v>KPI Sales: Delivery Quantity KG</v>
          </cell>
          <cell r="C602" t="str">
            <v>KPI_SALES__DELIVERY_QUANTITY_KG</v>
          </cell>
          <cell r="D602" t="str">
            <v>Delivery quantity in KG (sales)</v>
          </cell>
          <cell r="E602" t="str">
            <v>The total delivery quantity in kilograms recorded in delivery documents in the reporting period. Volume KPI in sales reporting, aggregatable by customer, product, region, etc.</v>
          </cell>
        </row>
        <row r="603">
          <cell r="B603" t="str">
            <v>KPI Sales: Net value deliv. DC</v>
          </cell>
          <cell r="C603" t="str">
            <v>KPI_SALES__NET_VALUE_DELIV__DC</v>
          </cell>
          <cell r="D603" t="str">
            <v>Net value of delivery item in document currency</v>
          </cell>
          <cell r="E603" t="str">
            <v>The net value of a delivery line item in the respective document currency (DC). Starting figure for revenue analyses prior to currency conversion to EUR.</v>
          </cell>
        </row>
        <row r="604">
          <cell r="B604" t="str">
            <v>KPI Sales: Net value delivery EUR</v>
          </cell>
          <cell r="C604" t="str">
            <v>KPI_SALES__NET_VALUE_DELIVERY_EUR</v>
          </cell>
          <cell r="D604" t="str">
            <v>Net value of delivery in EUR</v>
          </cell>
          <cell r="E604" t="e">
            <v>#VALUE!</v>
          </cell>
        </row>
      </sheetData>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832CB-6B25-4601-9266-23DEE2DE7AFF}" name="Tabelle2" displayName="Tabelle2" ref="A4:J10" totalsRowShown="0" headerRowDxfId="28" dataDxfId="27" tableBorderDxfId="26">
  <autoFilter ref="A4:J10" xr:uid="{017832CB-6B25-4601-9266-23DEE2DE7AFF}"/>
  <tableColumns count="10">
    <tableColumn id="1" xr3:uid="{01E1877B-6DF7-4725-A3A9-DEC2CC314734}" name="table_name" dataDxfId="25"/>
    <tableColumn id="2" xr3:uid="{996A70E1-13FB-4AE3-8FA6-01FBB9774E38}" name="alias" dataDxfId="24"/>
    <tableColumn id="3" xr3:uid="{24B6C990-5DC2-4A7A-82AE-15C051989043}" name="table_type" dataDxfId="23"/>
    <tableColumn id="4" xr3:uid="{B19C3711-F00B-4460-A18A-DD8519C99176}" name="primary_key" dataDxfId="22"/>
    <tableColumn id="5" xr3:uid="{87E5DA24-D80C-491E-94FE-79E03828584B}" name="grain" dataDxfId="21"/>
    <tableColumn id="6" xr3:uid="{23200FF0-DC93-4A1B-8E68-0B81630D5516}" name="when_to_use" dataDxfId="20"/>
    <tableColumn id="7" xr3:uid="{525C1C7A-1DAF-4E9E-A9CD-229C261C8C5F}" name="when_not_to_use" dataDxfId="19"/>
    <tableColumn id="8" xr3:uid="{B098AD3B-63BD-448B-A69F-E99877FBFFA9}" name="string_columns" dataDxfId="18"/>
    <tableColumn id="9" xr3:uid="{72D8FB40-6817-4DB1-8A26-2CCD37568645}" name="possible_metrics" dataDxfId="17"/>
    <tableColumn id="10" xr3:uid="{DBE1FEAE-476D-4905-86A9-7E50A1A9B07C}" name="notes"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0181DE-AD25-43EC-8B68-0C89BE6465AA}" name="Tabelle14" displayName="Tabelle14" ref="A5:K613" totalsRowShown="0" headerRowDxfId="15" dataDxfId="14" headerRowBorderDxfId="12" tableBorderDxfId="13" totalsRowBorderDxfId="11">
  <autoFilter ref="A5:K613" xr:uid="{00000000-0009-0000-0100-000002000000}"/>
  <tableColumns count="11">
    <tableColumn id="1" xr3:uid="{00000000-0010-0000-0100-000001000000}" name="table_name" dataDxfId="10"/>
    <tableColumn id="2" xr3:uid="{00000000-0010-0000-0100-000002000000}" name="column_name" dataDxfId="9"/>
    <tableColumn id="12" xr3:uid="{00000000-0010-0000-0100-00000C000000}" name="technical_name" dataDxfId="8"/>
    <tableColumn id="3" xr3:uid="{00000000-0010-0000-0100-000003000000}" name="business_name" dataDxfId="7"/>
    <tableColumn id="4" xr3:uid="{00000000-0010-0000-0100-000004000000}" name="description" dataDxfId="6"/>
    <tableColumn id="5" xr3:uid="{00000000-0010-0000-0100-000005000000}" name="data_type" dataDxfId="5"/>
    <tableColumn id="6" xr3:uid="{00000000-0010-0000-0100-000006000000}" name="is_key" dataDxfId="4"/>
    <tableColumn id="7" xr3:uid="{00000000-0010-0000-0100-000007000000}" name="is_required" dataDxfId="3"/>
    <tableColumn id="8" xr3:uid="{00000000-0010-0000-0100-000008000000}" name="sample_values" dataDxfId="2"/>
    <tableColumn id="11" xr3:uid="{00000000-0010-0000-0100-00000B000000}" name="notes" dataDxfId="1"/>
    <tableColumn id="9" xr3:uid="{00000000-0010-0000-0100-000009000000}" name="friendly_nam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workbookViewId="0">
      <pane ySplit="9" topLeftCell="A25" activePane="bottomLeft" state="frozen"/>
      <selection pane="bottomLeft" activeCell="C7" sqref="C7:G7"/>
    </sheetView>
  </sheetViews>
  <sheetFormatPr defaultColWidth="9.140625" defaultRowHeight="15"/>
  <cols>
    <col min="1" max="1" width="5" customWidth="1"/>
    <col min="2" max="2" width="28" customWidth="1"/>
    <col min="3" max="3" width="42" customWidth="1"/>
    <col min="4" max="4" width="22" customWidth="1"/>
    <col min="5" max="5" width="28" customWidth="1"/>
    <col min="6" max="6" width="16" customWidth="1"/>
    <col min="7" max="7" width="18" customWidth="1"/>
  </cols>
  <sheetData>
    <row r="1" spans="1:7" ht="32.1" customHeight="1">
      <c r="A1" s="66" t="s">
        <v>0</v>
      </c>
      <c r="B1" s="91"/>
      <c r="C1" s="91"/>
      <c r="D1" s="91"/>
      <c r="E1" s="91"/>
      <c r="F1" s="91"/>
      <c r="G1" s="91"/>
    </row>
    <row r="2" spans="1:7" ht="22.15" customHeight="1">
      <c r="A2" s="64" t="s">
        <v>1</v>
      </c>
      <c r="B2" s="91"/>
      <c r="C2" s="91"/>
      <c r="D2" s="91"/>
      <c r="E2" s="91"/>
      <c r="F2" s="91"/>
      <c r="G2" s="91"/>
    </row>
    <row r="3" spans="1:7" ht="44.1" customHeight="1">
      <c r="A3" s="70" t="s">
        <v>2</v>
      </c>
      <c r="B3" s="91"/>
      <c r="C3" s="91"/>
      <c r="D3" s="91"/>
      <c r="E3" s="91"/>
      <c r="F3" s="91"/>
      <c r="G3" s="91"/>
    </row>
    <row r="4" spans="1:7" ht="22.15" customHeight="1">
      <c r="A4" s="69" t="s">
        <v>3</v>
      </c>
      <c r="B4" s="91"/>
      <c r="C4" s="91"/>
      <c r="D4" s="91"/>
      <c r="E4" s="91"/>
      <c r="F4" s="91"/>
      <c r="G4" s="91"/>
    </row>
    <row r="5" spans="1:7" ht="20.100000000000001" customHeight="1">
      <c r="A5" s="6"/>
      <c r="B5" s="7" t="s">
        <v>4</v>
      </c>
      <c r="C5" s="67" t="s">
        <v>5</v>
      </c>
      <c r="D5" s="92"/>
      <c r="E5" s="92"/>
      <c r="F5" s="92"/>
      <c r="G5" s="92"/>
    </row>
    <row r="6" spans="1:7" ht="20.100000000000001" customHeight="1">
      <c r="A6" s="6"/>
      <c r="B6" s="7" t="s">
        <v>6</v>
      </c>
      <c r="C6" s="67" t="s">
        <v>7</v>
      </c>
      <c r="D6" s="92"/>
      <c r="E6" s="92"/>
      <c r="F6" s="92"/>
      <c r="G6" s="92"/>
    </row>
    <row r="7" spans="1:7" ht="20.100000000000001" customHeight="1">
      <c r="A7" s="6"/>
      <c r="B7" s="7" t="s">
        <v>8</v>
      </c>
      <c r="C7" s="67" t="s">
        <v>9</v>
      </c>
      <c r="D7" s="92"/>
      <c r="E7" s="92"/>
      <c r="F7" s="92"/>
      <c r="G7" s="92"/>
    </row>
    <row r="8" spans="1:7" ht="20.100000000000001" customHeight="1">
      <c r="A8" s="6"/>
      <c r="B8" s="7" t="s">
        <v>10</v>
      </c>
      <c r="C8" s="67" t="s">
        <v>11</v>
      </c>
      <c r="D8" s="92"/>
      <c r="E8" s="92"/>
      <c r="F8" s="92"/>
      <c r="G8" s="92"/>
    </row>
    <row r="9" spans="1:7" ht="20.100000000000001" customHeight="1">
      <c r="A9" s="6"/>
      <c r="B9" s="7" t="s">
        <v>12</v>
      </c>
      <c r="C9" s="67" t="s">
        <v>13</v>
      </c>
      <c r="D9" s="92"/>
      <c r="E9" s="92"/>
      <c r="F9" s="92"/>
      <c r="G9" s="92"/>
    </row>
    <row r="10" spans="1:7" ht="20.100000000000001" customHeight="1">
      <c r="A10" s="6"/>
      <c r="B10" s="7" t="s">
        <v>14</v>
      </c>
      <c r="C10" s="67" t="s">
        <v>15</v>
      </c>
      <c r="D10" s="92"/>
      <c r="E10" s="92"/>
      <c r="F10" s="92"/>
      <c r="G10" s="92"/>
    </row>
    <row r="11" spans="1:7" ht="20.100000000000001" customHeight="1">
      <c r="A11" s="6"/>
      <c r="B11" s="7" t="s">
        <v>16</v>
      </c>
      <c r="C11" s="67" t="s">
        <v>17</v>
      </c>
      <c r="D11" s="92"/>
      <c r="E11" s="92"/>
      <c r="F11" s="92"/>
      <c r="G11" s="92"/>
    </row>
    <row r="12" spans="1:7" ht="20.100000000000001" customHeight="1">
      <c r="A12" s="6"/>
      <c r="B12" s="7" t="s">
        <v>18</v>
      </c>
      <c r="C12" s="67" t="s">
        <v>19</v>
      </c>
      <c r="D12" s="92"/>
      <c r="E12" s="92"/>
      <c r="F12" s="92"/>
      <c r="G12" s="92"/>
    </row>
    <row r="13" spans="1:7" ht="20.100000000000001" customHeight="1">
      <c r="A13" s="6"/>
      <c r="B13" s="7" t="s">
        <v>20</v>
      </c>
      <c r="C13" s="67" t="s">
        <v>21</v>
      </c>
      <c r="D13" s="92"/>
      <c r="E13" s="92"/>
      <c r="F13" s="92"/>
      <c r="G13" s="92"/>
    </row>
    <row r="14" spans="1:7" ht="8.1" customHeight="1"/>
    <row r="15" spans="1:7" ht="22.15" customHeight="1">
      <c r="A15" s="69" t="s">
        <v>22</v>
      </c>
      <c r="B15" s="91"/>
      <c r="C15" s="91"/>
      <c r="D15" s="91"/>
      <c r="E15" s="91"/>
      <c r="F15" s="91"/>
      <c r="G15" s="91"/>
    </row>
    <row r="16" spans="1:7" ht="36" customHeight="1">
      <c r="A16" s="8" t="s">
        <v>23</v>
      </c>
      <c r="B16" s="8" t="s">
        <v>24</v>
      </c>
      <c r="C16" s="8" t="s">
        <v>25</v>
      </c>
      <c r="D16" s="8" t="s">
        <v>26</v>
      </c>
      <c r="E16" s="8" t="s">
        <v>27</v>
      </c>
      <c r="F16" s="8" t="s">
        <v>28</v>
      </c>
      <c r="G16" s="8" t="s">
        <v>29</v>
      </c>
    </row>
    <row r="17" spans="1:7" ht="72" customHeight="1">
      <c r="A17" s="9" t="s">
        <v>30</v>
      </c>
      <c r="B17" s="10" t="s">
        <v>31</v>
      </c>
      <c r="C17" s="11" t="s">
        <v>32</v>
      </c>
      <c r="D17" s="11" t="s">
        <v>33</v>
      </c>
      <c r="E17" s="11" t="s">
        <v>34</v>
      </c>
      <c r="F17" s="12" t="s">
        <v>35</v>
      </c>
      <c r="G17" s="13" t="s">
        <v>36</v>
      </c>
    </row>
    <row r="18" spans="1:7" ht="72" customHeight="1">
      <c r="A18" s="9" t="s">
        <v>37</v>
      </c>
      <c r="B18" s="7" t="s">
        <v>38</v>
      </c>
      <c r="C18" s="14" t="s">
        <v>39</v>
      </c>
      <c r="D18" s="14" t="s">
        <v>33</v>
      </c>
      <c r="E18" s="14" t="s">
        <v>40</v>
      </c>
      <c r="F18" s="12" t="s">
        <v>35</v>
      </c>
      <c r="G18" s="13" t="s">
        <v>36</v>
      </c>
    </row>
    <row r="19" spans="1:7" ht="72" customHeight="1">
      <c r="A19" s="9" t="s">
        <v>41</v>
      </c>
      <c r="B19" s="10" t="s">
        <v>42</v>
      </c>
      <c r="C19" s="11" t="s">
        <v>43</v>
      </c>
      <c r="D19" s="11" t="s">
        <v>44</v>
      </c>
      <c r="E19" s="11" t="s">
        <v>45</v>
      </c>
      <c r="F19" s="12" t="s">
        <v>46</v>
      </c>
      <c r="G19" s="13" t="s">
        <v>36</v>
      </c>
    </row>
    <row r="20" spans="1:7" ht="72" customHeight="1">
      <c r="A20" s="9" t="s">
        <v>47</v>
      </c>
      <c r="B20" s="7" t="s">
        <v>48</v>
      </c>
      <c r="C20" s="14" t="s">
        <v>49</v>
      </c>
      <c r="D20" s="14" t="s">
        <v>50</v>
      </c>
      <c r="E20" s="14" t="s">
        <v>51</v>
      </c>
      <c r="F20" s="12" t="s">
        <v>46</v>
      </c>
      <c r="G20" s="13" t="s">
        <v>36</v>
      </c>
    </row>
    <row r="21" spans="1:7" ht="72" customHeight="1">
      <c r="A21" s="9" t="s">
        <v>52</v>
      </c>
      <c r="B21" s="10" t="s">
        <v>53</v>
      </c>
      <c r="C21" s="11" t="s">
        <v>54</v>
      </c>
      <c r="D21" s="11" t="s">
        <v>55</v>
      </c>
      <c r="E21" s="11" t="s">
        <v>56</v>
      </c>
      <c r="F21" s="15" t="s">
        <v>57</v>
      </c>
      <c r="G21" s="13" t="s">
        <v>36</v>
      </c>
    </row>
    <row r="22" spans="1:7" ht="72" customHeight="1">
      <c r="A22" s="9" t="s">
        <v>58</v>
      </c>
      <c r="B22" s="7" t="s">
        <v>59</v>
      </c>
      <c r="C22" s="14" t="s">
        <v>60</v>
      </c>
      <c r="D22" s="14" t="s">
        <v>61</v>
      </c>
      <c r="E22" s="14" t="s">
        <v>62</v>
      </c>
      <c r="F22" s="15" t="s">
        <v>57</v>
      </c>
      <c r="G22" s="13" t="s">
        <v>36</v>
      </c>
    </row>
    <row r="23" spans="1:7" ht="72" customHeight="1">
      <c r="A23" s="9" t="s">
        <v>63</v>
      </c>
      <c r="B23" s="10" t="s">
        <v>64</v>
      </c>
      <c r="C23" s="11" t="s">
        <v>65</v>
      </c>
      <c r="D23" s="11" t="s">
        <v>61</v>
      </c>
      <c r="E23" s="11" t="s">
        <v>66</v>
      </c>
      <c r="F23" s="15" t="s">
        <v>57</v>
      </c>
      <c r="G23" s="13" t="s">
        <v>36</v>
      </c>
    </row>
    <row r="24" spans="1:7" ht="72" customHeight="1">
      <c r="A24" s="9" t="s">
        <v>67</v>
      </c>
      <c r="B24" s="7" t="s">
        <v>68</v>
      </c>
      <c r="C24" s="14" t="s">
        <v>69</v>
      </c>
      <c r="D24" s="14" t="s">
        <v>70</v>
      </c>
      <c r="E24" s="14" t="s">
        <v>71</v>
      </c>
      <c r="F24" s="12" t="s">
        <v>46</v>
      </c>
      <c r="G24" s="13" t="s">
        <v>36</v>
      </c>
    </row>
    <row r="25" spans="1:7" ht="72" customHeight="1">
      <c r="A25" s="9" t="s">
        <v>72</v>
      </c>
      <c r="B25" s="10" t="s">
        <v>73</v>
      </c>
      <c r="C25" s="11" t="s">
        <v>74</v>
      </c>
      <c r="D25" s="11" t="s">
        <v>75</v>
      </c>
      <c r="E25" s="11" t="s">
        <v>76</v>
      </c>
      <c r="F25" s="15" t="s">
        <v>57</v>
      </c>
      <c r="G25" s="13" t="s">
        <v>36</v>
      </c>
    </row>
    <row r="26" spans="1:7">
      <c r="A26" s="91"/>
      <c r="B26" s="91"/>
      <c r="C26" s="91"/>
      <c r="D26" s="91"/>
      <c r="E26" s="91"/>
      <c r="F26" s="91"/>
      <c r="G26" s="91"/>
    </row>
    <row r="27" spans="1:7" ht="20.100000000000001" customHeight="1">
      <c r="A27" s="68" t="s">
        <v>77</v>
      </c>
      <c r="B27" s="91"/>
      <c r="C27" s="91"/>
      <c r="D27" s="91"/>
      <c r="E27" s="91"/>
      <c r="F27" s="91"/>
      <c r="G27" s="91"/>
    </row>
    <row r="28" spans="1:7" ht="8.1" customHeight="1">
      <c r="A28" s="91"/>
      <c r="B28" s="91"/>
      <c r="C28" s="91"/>
      <c r="D28" s="91"/>
      <c r="E28" s="91"/>
      <c r="F28" s="91"/>
      <c r="G28" s="91"/>
    </row>
    <row r="29" spans="1:7" ht="36" customHeight="1">
      <c r="A29" s="70" t="s">
        <v>78</v>
      </c>
      <c r="B29" s="91"/>
      <c r="C29" s="91"/>
      <c r="D29" s="91"/>
      <c r="E29" s="91"/>
      <c r="F29" s="91"/>
      <c r="G29" s="91"/>
    </row>
  </sheetData>
  <mergeCells count="18">
    <mergeCell ref="A29:G29"/>
    <mergeCell ref="C5:G5"/>
    <mergeCell ref="A2:G2"/>
    <mergeCell ref="C9:G9"/>
    <mergeCell ref="C13:G13"/>
    <mergeCell ref="A26:G26"/>
    <mergeCell ref="C8:G8"/>
    <mergeCell ref="A4:G4"/>
    <mergeCell ref="C6:G6"/>
    <mergeCell ref="A3:G3"/>
    <mergeCell ref="C10:G10"/>
    <mergeCell ref="C11:G11"/>
    <mergeCell ref="A1:G1"/>
    <mergeCell ref="C12:G12"/>
    <mergeCell ref="A27:G27"/>
    <mergeCell ref="C7:G7"/>
    <mergeCell ref="A28:G28"/>
    <mergeCell ref="A15:G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zoomScale="80" zoomScaleNormal="130" workbookViewId="0">
      <pane ySplit="4" topLeftCell="A5" activePane="bottomLeft" state="frozen"/>
      <selection pane="bottomLeft" activeCell="H5" sqref="H5"/>
    </sheetView>
  </sheetViews>
  <sheetFormatPr defaultColWidth="9.140625" defaultRowHeight="15"/>
  <cols>
    <col min="1" max="1" width="31.85546875" customWidth="1"/>
    <col min="2" max="2" width="31.5703125" customWidth="1"/>
    <col min="3" max="3" width="26.28515625" customWidth="1"/>
    <col min="4" max="4" width="23.85546875" customWidth="1"/>
    <col min="5" max="5" width="38" customWidth="1"/>
    <col min="6" max="6" width="48.5703125" customWidth="1"/>
    <col min="7" max="7" width="45" customWidth="1"/>
    <col min="8" max="8" width="44.28515625" customWidth="1"/>
    <col min="9" max="9" width="36.7109375" customWidth="1"/>
    <col min="10" max="10" width="45" customWidth="1"/>
  </cols>
  <sheetData>
    <row r="1" spans="1:10" ht="28.15" customHeight="1">
      <c r="A1" s="65" t="s">
        <v>79</v>
      </c>
      <c r="B1" s="91"/>
      <c r="C1" s="91"/>
      <c r="D1" s="91"/>
      <c r="E1" s="91"/>
      <c r="F1" s="91"/>
      <c r="G1" s="91"/>
      <c r="H1" s="91"/>
      <c r="I1" s="91"/>
      <c r="J1" s="91"/>
    </row>
    <row r="2" spans="1:10" ht="18" customHeight="1">
      <c r="A2" s="64" t="s">
        <v>80</v>
      </c>
      <c r="B2" s="91"/>
      <c r="C2" s="91"/>
      <c r="D2" s="91"/>
      <c r="E2" s="91"/>
      <c r="F2" s="91"/>
      <c r="G2" s="91"/>
      <c r="H2" s="91"/>
      <c r="I2" s="91"/>
      <c r="J2" s="91"/>
    </row>
    <row r="3" spans="1:10" ht="36" customHeight="1">
      <c r="A3" s="63" t="s">
        <v>81</v>
      </c>
      <c r="B3" s="91"/>
      <c r="C3" s="91"/>
      <c r="D3" s="91"/>
      <c r="E3" s="91"/>
      <c r="F3" s="91"/>
      <c r="G3" s="91"/>
      <c r="H3" s="91"/>
      <c r="I3" s="91"/>
      <c r="J3" s="91"/>
    </row>
    <row r="4" spans="1:10" ht="30" customHeight="1">
      <c r="A4" s="21" t="s">
        <v>82</v>
      </c>
      <c r="B4" s="21" t="s">
        <v>83</v>
      </c>
      <c r="C4" s="21" t="s">
        <v>84</v>
      </c>
      <c r="D4" s="21" t="s">
        <v>85</v>
      </c>
      <c r="E4" s="21" t="s">
        <v>86</v>
      </c>
      <c r="F4" s="21" t="s">
        <v>87</v>
      </c>
      <c r="G4" s="21" t="s">
        <v>88</v>
      </c>
      <c r="H4" s="21" t="s">
        <v>89</v>
      </c>
      <c r="I4" s="21" t="s">
        <v>90</v>
      </c>
      <c r="J4" s="21" t="s">
        <v>91</v>
      </c>
    </row>
    <row r="5" spans="1:10" ht="172.9" customHeight="1">
      <c r="A5" s="20" t="s">
        <v>92</v>
      </c>
      <c r="B5" s="20" t="s">
        <v>93</v>
      </c>
      <c r="C5" s="20"/>
      <c r="D5" s="20"/>
      <c r="E5" s="20"/>
      <c r="F5" s="20" t="s">
        <v>94</v>
      </c>
      <c r="G5" s="20" t="s">
        <v>95</v>
      </c>
      <c r="H5" s="20" t="s">
        <v>96</v>
      </c>
      <c r="I5" s="20" t="s">
        <v>97</v>
      </c>
      <c r="J5" s="20"/>
    </row>
    <row r="6" spans="1:10" ht="172.9" customHeight="1">
      <c r="A6" s="20" t="s">
        <v>98</v>
      </c>
      <c r="B6" s="20" t="s">
        <v>99</v>
      </c>
      <c r="C6" s="20"/>
      <c r="D6" s="20"/>
      <c r="E6" s="20"/>
      <c r="F6" s="20" t="s">
        <v>100</v>
      </c>
      <c r="G6" s="20" t="s">
        <v>101</v>
      </c>
      <c r="H6" s="20" t="s">
        <v>102</v>
      </c>
      <c r="I6" s="20" t="s">
        <v>103</v>
      </c>
      <c r="J6" s="20"/>
    </row>
    <row r="7" spans="1:10" ht="172.9" customHeight="1">
      <c r="A7" s="20" t="s">
        <v>104</v>
      </c>
      <c r="B7" s="20" t="s">
        <v>105</v>
      </c>
      <c r="C7" s="20"/>
      <c r="D7" s="20"/>
      <c r="E7" s="20"/>
      <c r="F7" s="20" t="s">
        <v>106</v>
      </c>
      <c r="G7" s="20" t="s">
        <v>107</v>
      </c>
      <c r="H7" s="20" t="s">
        <v>108</v>
      </c>
      <c r="I7" s="20" t="s">
        <v>109</v>
      </c>
      <c r="J7" s="20"/>
    </row>
    <row r="8" spans="1:10" ht="172.9" customHeight="1">
      <c r="A8" s="20" t="s">
        <v>110</v>
      </c>
      <c r="B8" s="20" t="s">
        <v>111</v>
      </c>
      <c r="C8" s="20"/>
      <c r="D8" s="20"/>
      <c r="E8" s="20"/>
      <c r="F8" s="20" t="s">
        <v>112</v>
      </c>
      <c r="G8" s="20" t="s">
        <v>113</v>
      </c>
      <c r="H8" s="20" t="s">
        <v>114</v>
      </c>
      <c r="I8" s="20" t="s">
        <v>115</v>
      </c>
      <c r="J8" s="20"/>
    </row>
    <row r="9" spans="1:10" ht="172.9" customHeight="1">
      <c r="A9" s="22" t="s">
        <v>116</v>
      </c>
      <c r="B9" s="22" t="s">
        <v>117</v>
      </c>
      <c r="C9" s="22"/>
      <c r="D9" s="22"/>
      <c r="E9" s="22"/>
      <c r="F9" s="22" t="s">
        <v>118</v>
      </c>
      <c r="G9" s="22" t="s">
        <v>119</v>
      </c>
      <c r="H9" s="22" t="s">
        <v>120</v>
      </c>
      <c r="I9" s="22" t="s">
        <v>121</v>
      </c>
      <c r="J9" s="22"/>
    </row>
    <row r="10" spans="1:10" ht="68.45" customHeight="1">
      <c r="A10" s="22" t="s">
        <v>122</v>
      </c>
      <c r="B10" s="22" t="s">
        <v>123</v>
      </c>
      <c r="C10" s="22"/>
      <c r="D10" s="22"/>
      <c r="E10" s="22"/>
      <c r="F10" s="22" t="s">
        <v>124</v>
      </c>
      <c r="G10" s="22" t="s">
        <v>125</v>
      </c>
      <c r="H10" s="22" t="s">
        <v>126</v>
      </c>
      <c r="I10" s="22" t="s">
        <v>127</v>
      </c>
      <c r="J10" s="22"/>
    </row>
    <row r="11" spans="1:10" ht="24.6" customHeight="1"/>
    <row r="12" spans="1:10" ht="21" customHeight="1"/>
    <row r="13" spans="1:10" ht="22.9" customHeight="1"/>
    <row r="15" spans="1:10" ht="20.100000000000001" customHeight="1"/>
    <row r="16" spans="1:10">
      <c r="A16" s="63" t="s">
        <v>128</v>
      </c>
      <c r="B16" s="91"/>
      <c r="C16" s="91"/>
      <c r="D16" s="91"/>
      <c r="E16" s="91"/>
      <c r="F16" s="91"/>
      <c r="G16" s="91"/>
      <c r="H16" s="91"/>
      <c r="I16" s="91"/>
      <c r="J16" s="91"/>
    </row>
  </sheetData>
  <mergeCells count="4">
    <mergeCell ref="A16:J16"/>
    <mergeCell ref="A1:J1"/>
    <mergeCell ref="A3:J3"/>
    <mergeCell ref="A2:J2"/>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C5AB-B308-420D-848F-1AE647D57E86}">
  <dimension ref="A1:K613"/>
  <sheetViews>
    <sheetView tabSelected="1" zoomScale="90" zoomScaleNormal="115" workbookViewId="0">
      <pane ySplit="5" topLeftCell="A23" activePane="bottomLeft" state="frozen"/>
      <selection pane="bottomLeft" activeCell="B230" sqref="B230"/>
    </sheetView>
  </sheetViews>
  <sheetFormatPr defaultColWidth="9.140625" defaultRowHeight="15"/>
  <cols>
    <col min="1" max="1" width="32.140625" customWidth="1"/>
    <col min="2" max="2" width="37.85546875" customWidth="1"/>
    <col min="3" max="3" width="28.140625" customWidth="1"/>
    <col min="4" max="4" width="22" customWidth="1"/>
    <col min="5" max="5" width="48" customWidth="1"/>
    <col min="6" max="6" width="14" customWidth="1"/>
    <col min="7" max="7" width="12.7109375" customWidth="1"/>
    <col min="8" max="8" width="12.85546875" customWidth="1"/>
    <col min="9" max="10" width="30" customWidth="1"/>
    <col min="11" max="11" width="38" customWidth="1"/>
  </cols>
  <sheetData>
    <row r="1" spans="1:11" ht="28.15" customHeight="1">
      <c r="A1" s="65" t="s">
        <v>129</v>
      </c>
      <c r="B1" s="91"/>
      <c r="C1" s="91"/>
      <c r="D1" s="91"/>
      <c r="E1" s="91"/>
      <c r="F1" s="91"/>
      <c r="G1" s="91"/>
      <c r="H1" s="91"/>
      <c r="I1" s="91"/>
      <c r="J1" s="91"/>
      <c r="K1" s="91"/>
    </row>
    <row r="2" spans="1:11" ht="18" customHeight="1">
      <c r="A2" s="64" t="s">
        <v>130</v>
      </c>
      <c r="B2" s="91"/>
      <c r="C2" s="91"/>
      <c r="D2" s="91"/>
      <c r="E2" s="91"/>
      <c r="F2" s="91"/>
      <c r="G2" s="91"/>
      <c r="H2" s="91"/>
      <c r="I2" s="91"/>
      <c r="J2" s="91"/>
      <c r="K2" s="91"/>
    </row>
    <row r="3" spans="1:11" ht="36" customHeight="1">
      <c r="A3" s="63" t="s">
        <v>131</v>
      </c>
      <c r="B3" s="91"/>
      <c r="C3" s="91"/>
      <c r="D3" s="91"/>
      <c r="E3" s="91"/>
      <c r="F3" s="91"/>
      <c r="G3" s="91"/>
      <c r="H3" s="91"/>
      <c r="I3" s="91"/>
      <c r="J3" s="91"/>
      <c r="K3" s="91"/>
    </row>
    <row r="4" spans="1:11" ht="36" customHeight="1"/>
    <row r="5" spans="1:11" ht="30" customHeight="1">
      <c r="A5" s="17" t="s">
        <v>82</v>
      </c>
      <c r="B5" s="18" t="s">
        <v>132</v>
      </c>
      <c r="C5" s="18" t="s">
        <v>133</v>
      </c>
      <c r="D5" s="18" t="s">
        <v>134</v>
      </c>
      <c r="E5" s="18" t="s">
        <v>135</v>
      </c>
      <c r="F5" s="18" t="s">
        <v>136</v>
      </c>
      <c r="G5" s="18" t="s">
        <v>137</v>
      </c>
      <c r="H5" s="18" t="s">
        <v>138</v>
      </c>
      <c r="I5" s="18" t="s">
        <v>139</v>
      </c>
      <c r="J5" s="19" t="s">
        <v>91</v>
      </c>
      <c r="K5" s="19" t="s">
        <v>140</v>
      </c>
    </row>
    <row r="6" spans="1:11" ht="60" customHeight="1">
      <c r="A6" s="23" t="s">
        <v>92</v>
      </c>
      <c r="B6" s="24" t="s">
        <v>141</v>
      </c>
      <c r="C6" s="24" t="s">
        <v>142</v>
      </c>
      <c r="D6" s="24" t="s">
        <v>143</v>
      </c>
      <c r="E6" s="24" t="s">
        <v>144</v>
      </c>
      <c r="F6" s="24" t="s">
        <v>145</v>
      </c>
      <c r="G6" s="24"/>
      <c r="H6" s="24" t="s">
        <v>146</v>
      </c>
      <c r="I6" s="24">
        <v>70</v>
      </c>
      <c r="J6" s="25" t="s">
        <v>147</v>
      </c>
      <c r="K6" s="25" t="s">
        <v>148</v>
      </c>
    </row>
    <row r="7" spans="1:11" ht="60" customHeight="1">
      <c r="A7" s="23" t="s">
        <v>92</v>
      </c>
      <c r="B7" s="24" t="s">
        <v>149</v>
      </c>
      <c r="C7" s="24" t="s">
        <v>150</v>
      </c>
      <c r="D7" s="24" t="s">
        <v>151</v>
      </c>
      <c r="E7" s="24"/>
      <c r="F7" s="24" t="s">
        <v>152</v>
      </c>
      <c r="G7" s="24"/>
      <c r="H7" s="24" t="s">
        <v>146</v>
      </c>
      <c r="I7" s="24" t="s">
        <v>153</v>
      </c>
      <c r="J7" s="25" t="s">
        <v>154</v>
      </c>
      <c r="K7" s="25"/>
    </row>
    <row r="8" spans="1:11" ht="60" customHeight="1">
      <c r="A8" s="23" t="s">
        <v>92</v>
      </c>
      <c r="B8" s="24" t="s">
        <v>155</v>
      </c>
      <c r="C8" s="24" t="s">
        <v>156</v>
      </c>
      <c r="D8" s="24" t="s">
        <v>157</v>
      </c>
      <c r="E8" s="24" t="s">
        <v>158</v>
      </c>
      <c r="F8" s="24" t="s">
        <v>159</v>
      </c>
      <c r="G8" s="24"/>
      <c r="H8" s="24" t="s">
        <v>146</v>
      </c>
      <c r="I8" s="24">
        <v>889</v>
      </c>
      <c r="J8" s="25" t="s">
        <v>160</v>
      </c>
      <c r="K8" s="25" t="s">
        <v>161</v>
      </c>
    </row>
    <row r="9" spans="1:11" ht="60" customHeight="1">
      <c r="A9" s="23" t="s">
        <v>92</v>
      </c>
      <c r="B9" s="24" t="s">
        <v>162</v>
      </c>
      <c r="C9" s="24" t="s">
        <v>163</v>
      </c>
      <c r="D9" s="24" t="s">
        <v>164</v>
      </c>
      <c r="E9" s="24"/>
      <c r="F9" s="24" t="s">
        <v>152</v>
      </c>
      <c r="G9" s="24"/>
      <c r="H9" s="24" t="s">
        <v>146</v>
      </c>
      <c r="I9" s="24" t="s">
        <v>165</v>
      </c>
      <c r="J9" s="25" t="s">
        <v>154</v>
      </c>
      <c r="K9" s="25"/>
    </row>
    <row r="10" spans="1:11" ht="60" customHeight="1">
      <c r="A10" s="23" t="s">
        <v>92</v>
      </c>
      <c r="B10" s="24" t="s">
        <v>166</v>
      </c>
      <c r="C10" s="24" t="s">
        <v>167</v>
      </c>
      <c r="D10" s="24" t="s">
        <v>168</v>
      </c>
      <c r="E10" s="24" t="s">
        <v>169</v>
      </c>
      <c r="F10" s="24" t="s">
        <v>170</v>
      </c>
      <c r="G10" s="24"/>
      <c r="H10" s="24" t="s">
        <v>146</v>
      </c>
      <c r="I10" s="24" t="s">
        <v>171</v>
      </c>
      <c r="J10" s="25" t="s">
        <v>172</v>
      </c>
      <c r="K10" s="25" t="s">
        <v>173</v>
      </c>
    </row>
    <row r="11" spans="1:11" ht="60" customHeight="1">
      <c r="A11" s="23" t="s">
        <v>92</v>
      </c>
      <c r="B11" s="24" t="s">
        <v>174</v>
      </c>
      <c r="C11" s="24" t="s">
        <v>175</v>
      </c>
      <c r="D11" s="24" t="s">
        <v>176</v>
      </c>
      <c r="E11" s="24"/>
      <c r="F11" s="24" t="s">
        <v>152</v>
      </c>
      <c r="G11" s="24"/>
      <c r="H11" s="24" t="s">
        <v>146</v>
      </c>
      <c r="I11" s="24" t="s">
        <v>177</v>
      </c>
      <c r="J11" s="25" t="s">
        <v>154</v>
      </c>
      <c r="K11" s="25"/>
    </row>
    <row r="12" spans="1:11" ht="60" customHeight="1">
      <c r="A12" s="23" t="s">
        <v>92</v>
      </c>
      <c r="B12" s="24" t="s">
        <v>178</v>
      </c>
      <c r="C12" s="24" t="s">
        <v>179</v>
      </c>
      <c r="D12" s="24" t="s">
        <v>180</v>
      </c>
      <c r="E12" s="24" t="s">
        <v>181</v>
      </c>
      <c r="F12" s="24" t="s">
        <v>182</v>
      </c>
      <c r="G12" s="24"/>
      <c r="H12" s="24" t="s">
        <v>146</v>
      </c>
      <c r="I12" s="24" t="s">
        <v>183</v>
      </c>
      <c r="J12" s="25" t="s">
        <v>184</v>
      </c>
      <c r="K12" s="25" t="s">
        <v>185</v>
      </c>
    </row>
    <row r="13" spans="1:11" ht="60" customHeight="1">
      <c r="A13" s="23" t="s">
        <v>92</v>
      </c>
      <c r="B13" s="24" t="s">
        <v>186</v>
      </c>
      <c r="C13" s="24" t="s">
        <v>187</v>
      </c>
      <c r="D13" s="24" t="s">
        <v>188</v>
      </c>
      <c r="E13" s="24"/>
      <c r="F13" s="24" t="s">
        <v>189</v>
      </c>
      <c r="G13" s="24"/>
      <c r="H13" s="24" t="s">
        <v>146</v>
      </c>
      <c r="I13" s="24" t="s">
        <v>190</v>
      </c>
      <c r="J13" s="25" t="s">
        <v>191</v>
      </c>
      <c r="K13" s="25"/>
    </row>
    <row r="14" spans="1:11" ht="60" customHeight="1">
      <c r="A14" s="23" t="s">
        <v>92</v>
      </c>
      <c r="B14" s="24" t="s">
        <v>192</v>
      </c>
      <c r="C14" s="24" t="s">
        <v>193</v>
      </c>
      <c r="D14" s="24" t="s">
        <v>194</v>
      </c>
      <c r="E14" s="24" t="s">
        <v>195</v>
      </c>
      <c r="F14" s="24" t="s">
        <v>182</v>
      </c>
      <c r="G14" s="24"/>
      <c r="H14" s="24" t="s">
        <v>146</v>
      </c>
      <c r="I14" s="24" t="s">
        <v>183</v>
      </c>
      <c r="J14" s="25" t="s">
        <v>184</v>
      </c>
      <c r="K14" s="25" t="s">
        <v>196</v>
      </c>
    </row>
    <row r="15" spans="1:11" ht="60" customHeight="1">
      <c r="A15" s="23" t="s">
        <v>92</v>
      </c>
      <c r="B15" s="24" t="s">
        <v>197</v>
      </c>
      <c r="C15" s="24" t="s">
        <v>198</v>
      </c>
      <c r="D15" s="24" t="s">
        <v>199</v>
      </c>
      <c r="E15" s="24"/>
      <c r="F15" s="24" t="s">
        <v>200</v>
      </c>
      <c r="G15" s="24"/>
      <c r="H15" s="24" t="s">
        <v>146</v>
      </c>
      <c r="I15" s="24" t="s">
        <v>190</v>
      </c>
      <c r="J15" s="25" t="s">
        <v>201</v>
      </c>
      <c r="K15" s="25"/>
    </row>
    <row r="16" spans="1:11" ht="60" customHeight="1">
      <c r="A16" s="23" t="s">
        <v>92</v>
      </c>
      <c r="B16" s="24" t="s">
        <v>202</v>
      </c>
      <c r="C16" s="24" t="s">
        <v>203</v>
      </c>
      <c r="D16" s="24" t="s">
        <v>204</v>
      </c>
      <c r="E16" s="24" t="s">
        <v>205</v>
      </c>
      <c r="F16" s="24" t="s">
        <v>182</v>
      </c>
      <c r="G16" s="24"/>
      <c r="H16" s="24" t="s">
        <v>146</v>
      </c>
      <c r="I16" s="24" t="s">
        <v>206</v>
      </c>
      <c r="J16" s="25" t="s">
        <v>184</v>
      </c>
      <c r="K16" s="25" t="s">
        <v>207</v>
      </c>
    </row>
    <row r="17" spans="1:11" ht="60" customHeight="1">
      <c r="A17" s="23" t="s">
        <v>92</v>
      </c>
      <c r="B17" s="24" t="s">
        <v>208</v>
      </c>
      <c r="C17" s="24" t="s">
        <v>209</v>
      </c>
      <c r="D17" s="24" t="s">
        <v>210</v>
      </c>
      <c r="E17" s="24"/>
      <c r="F17" s="24" t="s">
        <v>211</v>
      </c>
      <c r="G17" s="24"/>
      <c r="H17" s="24" t="s">
        <v>146</v>
      </c>
      <c r="I17" s="24" t="s">
        <v>212</v>
      </c>
      <c r="J17" s="25" t="s">
        <v>213</v>
      </c>
      <c r="K17" s="25"/>
    </row>
    <row r="18" spans="1:11" ht="60" customHeight="1">
      <c r="A18" s="23" t="s">
        <v>92</v>
      </c>
      <c r="B18" s="24" t="s">
        <v>214</v>
      </c>
      <c r="C18" s="24" t="s">
        <v>215</v>
      </c>
      <c r="D18" s="24" t="s">
        <v>216</v>
      </c>
      <c r="E18" s="24" t="s">
        <v>217</v>
      </c>
      <c r="F18" s="24" t="s">
        <v>218</v>
      </c>
      <c r="G18" s="24"/>
      <c r="H18" s="24" t="s">
        <v>146</v>
      </c>
      <c r="I18" s="24" t="s">
        <v>219</v>
      </c>
      <c r="J18" s="25" t="s">
        <v>220</v>
      </c>
      <c r="K18" s="25" t="s">
        <v>221</v>
      </c>
    </row>
    <row r="19" spans="1:11" ht="60" customHeight="1">
      <c r="A19" s="23" t="s">
        <v>92</v>
      </c>
      <c r="B19" s="24" t="s">
        <v>222</v>
      </c>
      <c r="C19" s="24" t="s">
        <v>223</v>
      </c>
      <c r="D19" s="24" t="s">
        <v>224</v>
      </c>
      <c r="E19" s="24"/>
      <c r="F19" s="24" t="s">
        <v>152</v>
      </c>
      <c r="G19" s="24"/>
      <c r="H19" s="24" t="s">
        <v>146</v>
      </c>
      <c r="I19" s="24" t="s">
        <v>225</v>
      </c>
      <c r="J19" s="25" t="s">
        <v>154</v>
      </c>
      <c r="K19" s="25"/>
    </row>
    <row r="20" spans="1:11" ht="60" customHeight="1">
      <c r="A20" s="23" t="s">
        <v>92</v>
      </c>
      <c r="B20" s="24" t="s">
        <v>226</v>
      </c>
      <c r="C20" s="24" t="s">
        <v>227</v>
      </c>
      <c r="D20" s="24" t="s">
        <v>228</v>
      </c>
      <c r="E20" s="24" t="s">
        <v>229</v>
      </c>
      <c r="F20" s="24" t="s">
        <v>230</v>
      </c>
      <c r="G20" s="24"/>
      <c r="H20" s="24" t="s">
        <v>146</v>
      </c>
      <c r="I20" s="24" t="s">
        <v>231</v>
      </c>
      <c r="J20" s="25" t="s">
        <v>232</v>
      </c>
      <c r="K20" s="25" t="s">
        <v>233</v>
      </c>
    </row>
    <row r="21" spans="1:11" ht="60" customHeight="1">
      <c r="A21" s="23" t="s">
        <v>92</v>
      </c>
      <c r="B21" s="24" t="s">
        <v>234</v>
      </c>
      <c r="C21" s="24" t="s">
        <v>235</v>
      </c>
      <c r="D21" s="24" t="s">
        <v>236</v>
      </c>
      <c r="E21" s="24"/>
      <c r="F21" s="24" t="s">
        <v>152</v>
      </c>
      <c r="G21" s="24"/>
      <c r="H21" s="24" t="s">
        <v>146</v>
      </c>
      <c r="I21" s="24" t="s">
        <v>237</v>
      </c>
      <c r="J21" s="25" t="s">
        <v>154</v>
      </c>
      <c r="K21" s="25"/>
    </row>
    <row r="22" spans="1:11" ht="60" customHeight="1">
      <c r="A22" s="23" t="s">
        <v>92</v>
      </c>
      <c r="B22" s="24" t="s">
        <v>238</v>
      </c>
      <c r="C22" s="24" t="s">
        <v>239</v>
      </c>
      <c r="D22" s="24" t="s">
        <v>240</v>
      </c>
      <c r="E22" s="24" t="s">
        <v>241</v>
      </c>
      <c r="F22" s="24" t="s">
        <v>218</v>
      </c>
      <c r="G22" s="24"/>
      <c r="H22" s="24" t="s">
        <v>146</v>
      </c>
      <c r="I22" s="24" t="s">
        <v>242</v>
      </c>
      <c r="J22" s="25" t="s">
        <v>220</v>
      </c>
      <c r="K22" s="25" t="s">
        <v>243</v>
      </c>
    </row>
    <row r="23" spans="1:11" ht="60" customHeight="1">
      <c r="A23" s="23" t="s">
        <v>92</v>
      </c>
      <c r="B23" s="24" t="s">
        <v>244</v>
      </c>
      <c r="C23" s="24" t="s">
        <v>245</v>
      </c>
      <c r="D23" s="24" t="s">
        <v>246</v>
      </c>
      <c r="E23" s="24"/>
      <c r="F23" s="24" t="s">
        <v>247</v>
      </c>
      <c r="G23" s="24"/>
      <c r="H23" s="24" t="s">
        <v>146</v>
      </c>
      <c r="I23" s="24" t="s">
        <v>248</v>
      </c>
      <c r="J23" s="25" t="s">
        <v>249</v>
      </c>
      <c r="K23" s="25"/>
    </row>
    <row r="24" spans="1:11" ht="60" customHeight="1">
      <c r="A24" s="23" t="s">
        <v>92</v>
      </c>
      <c r="B24" s="24" t="s">
        <v>250</v>
      </c>
      <c r="C24" s="24" t="s">
        <v>251</v>
      </c>
      <c r="D24" s="24" t="s">
        <v>252</v>
      </c>
      <c r="E24" s="24" t="s">
        <v>253</v>
      </c>
      <c r="F24" s="24" t="s">
        <v>254</v>
      </c>
      <c r="G24" s="24"/>
      <c r="H24" s="24" t="s">
        <v>146</v>
      </c>
      <c r="I24" s="24" t="s">
        <v>255</v>
      </c>
      <c r="J24" s="25" t="s">
        <v>256</v>
      </c>
      <c r="K24" s="25" t="s">
        <v>257</v>
      </c>
    </row>
    <row r="25" spans="1:11" ht="60" customHeight="1">
      <c r="A25" s="23" t="s">
        <v>92</v>
      </c>
      <c r="B25" s="24" t="s">
        <v>258</v>
      </c>
      <c r="C25" s="24" t="s">
        <v>259</v>
      </c>
      <c r="D25" s="24" t="s">
        <v>260</v>
      </c>
      <c r="E25" s="24"/>
      <c r="F25" s="24" t="s">
        <v>261</v>
      </c>
      <c r="G25" s="24"/>
      <c r="H25" s="24" t="s">
        <v>146</v>
      </c>
      <c r="I25" s="24" t="s">
        <v>262</v>
      </c>
      <c r="J25" s="25" t="s">
        <v>263</v>
      </c>
      <c r="K25" s="25"/>
    </row>
    <row r="26" spans="1:11" ht="60" customHeight="1">
      <c r="A26" s="23" t="s">
        <v>92</v>
      </c>
      <c r="B26" s="24" t="s">
        <v>264</v>
      </c>
      <c r="C26" s="24" t="s">
        <v>265</v>
      </c>
      <c r="D26" s="24" t="s">
        <v>266</v>
      </c>
      <c r="E26" s="24" t="s">
        <v>267</v>
      </c>
      <c r="F26" s="24" t="s">
        <v>268</v>
      </c>
      <c r="G26" s="24"/>
      <c r="H26" s="24" t="s">
        <v>146</v>
      </c>
      <c r="I26" s="24" t="s">
        <v>269</v>
      </c>
      <c r="J26" s="25" t="s">
        <v>270</v>
      </c>
      <c r="K26" s="25" t="s">
        <v>271</v>
      </c>
    </row>
    <row r="27" spans="1:11" ht="60" customHeight="1">
      <c r="A27" s="23" t="s">
        <v>92</v>
      </c>
      <c r="B27" s="24" t="s">
        <v>272</v>
      </c>
      <c r="C27" s="24" t="s">
        <v>273</v>
      </c>
      <c r="D27" s="24" t="s">
        <v>274</v>
      </c>
      <c r="E27" s="24"/>
      <c r="F27" s="24" t="s">
        <v>152</v>
      </c>
      <c r="G27" s="24"/>
      <c r="H27" s="24" t="s">
        <v>146</v>
      </c>
      <c r="I27" s="24" t="s">
        <v>275</v>
      </c>
      <c r="J27" s="25" t="s">
        <v>154</v>
      </c>
      <c r="K27" s="25"/>
    </row>
    <row r="28" spans="1:11" ht="60" customHeight="1">
      <c r="A28" s="23" t="s">
        <v>92</v>
      </c>
      <c r="B28" s="24" t="s">
        <v>276</v>
      </c>
      <c r="C28" s="24" t="s">
        <v>277</v>
      </c>
      <c r="D28" s="24" t="s">
        <v>278</v>
      </c>
      <c r="E28" s="24" t="s">
        <v>279</v>
      </c>
      <c r="F28" s="24" t="s">
        <v>145</v>
      </c>
      <c r="G28" s="24"/>
      <c r="H28" s="24" t="s">
        <v>146</v>
      </c>
      <c r="I28" s="24">
        <v>71</v>
      </c>
      <c r="J28" s="25" t="s">
        <v>280</v>
      </c>
      <c r="K28" s="25" t="s">
        <v>281</v>
      </c>
    </row>
    <row r="29" spans="1:11" ht="60" customHeight="1">
      <c r="A29" s="23" t="s">
        <v>92</v>
      </c>
      <c r="B29" s="24" t="s">
        <v>282</v>
      </c>
      <c r="C29" s="24" t="s">
        <v>283</v>
      </c>
      <c r="D29" s="24" t="s">
        <v>284</v>
      </c>
      <c r="E29" s="24"/>
      <c r="F29" s="24" t="s">
        <v>285</v>
      </c>
      <c r="G29" s="24"/>
      <c r="H29" s="24" t="s">
        <v>146</v>
      </c>
      <c r="I29" s="24" t="s">
        <v>286</v>
      </c>
      <c r="J29" s="25" t="s">
        <v>287</v>
      </c>
      <c r="K29" s="25"/>
    </row>
    <row r="30" spans="1:11" ht="60" customHeight="1">
      <c r="A30" s="23" t="s">
        <v>92</v>
      </c>
      <c r="B30" s="24" t="s">
        <v>288</v>
      </c>
      <c r="C30" s="24" t="s">
        <v>289</v>
      </c>
      <c r="D30" s="24" t="s">
        <v>290</v>
      </c>
      <c r="E30" s="24" t="s">
        <v>291</v>
      </c>
      <c r="F30" s="24" t="s">
        <v>292</v>
      </c>
      <c r="G30" s="24"/>
      <c r="H30" s="24" t="s">
        <v>146</v>
      </c>
      <c r="I30" s="24">
        <v>12.026</v>
      </c>
      <c r="J30" s="25" t="s">
        <v>293</v>
      </c>
      <c r="K30" s="25" t="s">
        <v>294</v>
      </c>
    </row>
    <row r="31" spans="1:11" ht="60" customHeight="1">
      <c r="A31" s="23" t="s">
        <v>92</v>
      </c>
      <c r="B31" s="24" t="s">
        <v>295</v>
      </c>
      <c r="C31" s="24" t="s">
        <v>296</v>
      </c>
      <c r="D31" s="24" t="s">
        <v>297</v>
      </c>
      <c r="E31" s="24"/>
      <c r="F31" s="24" t="s">
        <v>189</v>
      </c>
      <c r="G31" s="24"/>
      <c r="H31" s="24" t="s">
        <v>146</v>
      </c>
      <c r="I31" s="24" t="s">
        <v>298</v>
      </c>
      <c r="J31" s="25" t="s">
        <v>191</v>
      </c>
      <c r="K31" s="25"/>
    </row>
    <row r="32" spans="1:11" ht="60" customHeight="1">
      <c r="A32" s="23" t="s">
        <v>92</v>
      </c>
      <c r="B32" s="24" t="s">
        <v>299</v>
      </c>
      <c r="C32" s="24" t="s">
        <v>300</v>
      </c>
      <c r="D32" s="24" t="s">
        <v>301</v>
      </c>
      <c r="E32" s="24" t="s">
        <v>302</v>
      </c>
      <c r="F32" s="24" t="s">
        <v>218</v>
      </c>
      <c r="G32" s="24"/>
      <c r="H32" s="24" t="s">
        <v>146</v>
      </c>
      <c r="I32" s="24" t="s">
        <v>303</v>
      </c>
      <c r="J32" s="25" t="s">
        <v>220</v>
      </c>
      <c r="K32" s="25" t="s">
        <v>304</v>
      </c>
    </row>
    <row r="33" spans="1:11" ht="60" customHeight="1">
      <c r="A33" s="23" t="s">
        <v>92</v>
      </c>
      <c r="B33" s="24" t="s">
        <v>305</v>
      </c>
      <c r="C33" s="24" t="s">
        <v>306</v>
      </c>
      <c r="D33" s="24" t="s">
        <v>307</v>
      </c>
      <c r="E33" s="24"/>
      <c r="F33" s="24" t="s">
        <v>308</v>
      </c>
      <c r="G33" s="24"/>
      <c r="H33" s="24" t="s">
        <v>146</v>
      </c>
      <c r="I33" s="24" t="s">
        <v>309</v>
      </c>
      <c r="J33" s="25" t="s">
        <v>310</v>
      </c>
      <c r="K33" s="25"/>
    </row>
    <row r="34" spans="1:11" ht="60" customHeight="1">
      <c r="A34" s="23" t="s">
        <v>92</v>
      </c>
      <c r="B34" s="24" t="s">
        <v>311</v>
      </c>
      <c r="C34" s="24" t="s">
        <v>312</v>
      </c>
      <c r="D34" s="24" t="s">
        <v>313</v>
      </c>
      <c r="E34" s="24" t="s">
        <v>314</v>
      </c>
      <c r="F34" s="24" t="s">
        <v>145</v>
      </c>
      <c r="G34" s="24"/>
      <c r="H34" s="24" t="s">
        <v>146</v>
      </c>
      <c r="I34" s="24">
        <v>1</v>
      </c>
      <c r="J34" s="25" t="s">
        <v>315</v>
      </c>
      <c r="K34" s="25" t="s">
        <v>316</v>
      </c>
    </row>
    <row r="35" spans="1:11" ht="60" customHeight="1">
      <c r="A35" s="23" t="s">
        <v>92</v>
      </c>
      <c r="B35" s="24" t="s">
        <v>317</v>
      </c>
      <c r="C35" s="24" t="s">
        <v>318</v>
      </c>
      <c r="D35" s="24" t="s">
        <v>319</v>
      </c>
      <c r="E35" s="24"/>
      <c r="F35" s="24" t="s">
        <v>152</v>
      </c>
      <c r="G35" s="24"/>
      <c r="H35" s="24" t="s">
        <v>146</v>
      </c>
      <c r="I35" s="24" t="s">
        <v>320</v>
      </c>
      <c r="J35" s="25" t="s">
        <v>154</v>
      </c>
      <c r="K35" s="25"/>
    </row>
    <row r="36" spans="1:11" ht="60" customHeight="1">
      <c r="A36" s="23" t="s">
        <v>92</v>
      </c>
      <c r="B36" s="24" t="s">
        <v>321</v>
      </c>
      <c r="C36" s="24" t="s">
        <v>322</v>
      </c>
      <c r="D36" s="24" t="s">
        <v>323</v>
      </c>
      <c r="E36" s="24" t="s">
        <v>324</v>
      </c>
      <c r="F36" s="24" t="s">
        <v>285</v>
      </c>
      <c r="G36" s="24"/>
      <c r="H36" s="24" t="s">
        <v>146</v>
      </c>
      <c r="I36" s="24" t="s">
        <v>325</v>
      </c>
      <c r="J36" s="25" t="s">
        <v>287</v>
      </c>
      <c r="K36" s="25" t="s">
        <v>326</v>
      </c>
    </row>
    <row r="37" spans="1:11" ht="60" customHeight="1">
      <c r="A37" s="23" t="s">
        <v>92</v>
      </c>
      <c r="B37" s="24" t="s">
        <v>327</v>
      </c>
      <c r="C37" s="24" t="s">
        <v>328</v>
      </c>
      <c r="D37" s="24" t="s">
        <v>329</v>
      </c>
      <c r="E37" s="24"/>
      <c r="F37" s="24" t="s">
        <v>330</v>
      </c>
      <c r="G37" s="24"/>
      <c r="H37" s="24" t="s">
        <v>146</v>
      </c>
      <c r="I37" s="24" t="s">
        <v>331</v>
      </c>
      <c r="J37" s="25" t="s">
        <v>332</v>
      </c>
      <c r="K37" s="25"/>
    </row>
    <row r="38" spans="1:11" ht="60" customHeight="1">
      <c r="A38" s="23" t="s">
        <v>92</v>
      </c>
      <c r="B38" s="24" t="s">
        <v>333</v>
      </c>
      <c r="C38" s="24" t="s">
        <v>334</v>
      </c>
      <c r="D38" s="24" t="s">
        <v>335</v>
      </c>
      <c r="E38" s="24" t="s">
        <v>336</v>
      </c>
      <c r="F38" s="24" t="s">
        <v>285</v>
      </c>
      <c r="G38" s="24"/>
      <c r="H38" s="24" t="s">
        <v>146</v>
      </c>
      <c r="I38" s="24">
        <v>3530369</v>
      </c>
      <c r="J38" s="25" t="s">
        <v>287</v>
      </c>
      <c r="K38" s="25" t="s">
        <v>337</v>
      </c>
    </row>
    <row r="39" spans="1:11" ht="60" customHeight="1">
      <c r="A39" s="23" t="s">
        <v>92</v>
      </c>
      <c r="B39" s="24" t="s">
        <v>338</v>
      </c>
      <c r="C39" s="24" t="s">
        <v>339</v>
      </c>
      <c r="D39" s="24" t="s">
        <v>340</v>
      </c>
      <c r="E39" s="24"/>
      <c r="F39" s="24" t="s">
        <v>330</v>
      </c>
      <c r="G39" s="24"/>
      <c r="H39" s="24" t="s">
        <v>146</v>
      </c>
      <c r="I39" s="24" t="s">
        <v>331</v>
      </c>
      <c r="J39" s="25" t="s">
        <v>332</v>
      </c>
      <c r="K39" s="25"/>
    </row>
    <row r="40" spans="1:11" ht="60" customHeight="1">
      <c r="A40" s="23" t="s">
        <v>92</v>
      </c>
      <c r="B40" s="24" t="s">
        <v>341</v>
      </c>
      <c r="C40" s="24" t="s">
        <v>342</v>
      </c>
      <c r="D40" s="24" t="s">
        <v>343</v>
      </c>
      <c r="E40" s="24" t="s">
        <v>344</v>
      </c>
      <c r="F40" s="24" t="s">
        <v>182</v>
      </c>
      <c r="G40" s="24"/>
      <c r="H40" s="24" t="s">
        <v>146</v>
      </c>
      <c r="I40" s="24">
        <v>71</v>
      </c>
      <c r="J40" s="25" t="s">
        <v>184</v>
      </c>
      <c r="K40" s="25" t="s">
        <v>345</v>
      </c>
    </row>
    <row r="41" spans="1:11" ht="60" customHeight="1">
      <c r="A41" s="23" t="s">
        <v>92</v>
      </c>
      <c r="B41" s="24" t="s">
        <v>346</v>
      </c>
      <c r="C41" s="24" t="s">
        <v>347</v>
      </c>
      <c r="D41" s="24" t="s">
        <v>348</v>
      </c>
      <c r="E41" s="24"/>
      <c r="F41" s="24" t="s">
        <v>285</v>
      </c>
      <c r="G41" s="24"/>
      <c r="H41" s="24" t="s">
        <v>146</v>
      </c>
      <c r="I41" s="24" t="s">
        <v>286</v>
      </c>
      <c r="J41" s="25" t="s">
        <v>287</v>
      </c>
      <c r="K41" s="25"/>
    </row>
    <row r="42" spans="1:11" ht="60" customHeight="1">
      <c r="A42" s="23" t="s">
        <v>92</v>
      </c>
      <c r="B42" s="24" t="s">
        <v>349</v>
      </c>
      <c r="C42" s="24" t="s">
        <v>350</v>
      </c>
      <c r="D42" s="24" t="s">
        <v>351</v>
      </c>
      <c r="E42" s="24" t="s">
        <v>352</v>
      </c>
      <c r="F42" s="24" t="s">
        <v>218</v>
      </c>
      <c r="G42" s="24"/>
      <c r="H42" s="24" t="s">
        <v>146</v>
      </c>
      <c r="I42" s="24" t="s">
        <v>353</v>
      </c>
      <c r="J42" s="25" t="s">
        <v>220</v>
      </c>
      <c r="K42" s="25" t="s">
        <v>354</v>
      </c>
    </row>
    <row r="43" spans="1:11" ht="60" customHeight="1">
      <c r="A43" s="23" t="s">
        <v>92</v>
      </c>
      <c r="B43" s="24" t="s">
        <v>355</v>
      </c>
      <c r="C43" s="24" t="s">
        <v>356</v>
      </c>
      <c r="D43" s="24" t="s">
        <v>357</v>
      </c>
      <c r="E43" s="24"/>
      <c r="F43" s="24" t="s">
        <v>152</v>
      </c>
      <c r="G43" s="24"/>
      <c r="H43" s="24" t="s">
        <v>146</v>
      </c>
      <c r="I43" s="24" t="s">
        <v>212</v>
      </c>
      <c r="J43" s="25" t="s">
        <v>154</v>
      </c>
      <c r="K43" s="25"/>
    </row>
    <row r="44" spans="1:11" ht="60" customHeight="1">
      <c r="A44" s="23" t="s">
        <v>92</v>
      </c>
      <c r="B44" s="24" t="s">
        <v>358</v>
      </c>
      <c r="C44" s="24" t="s">
        <v>359</v>
      </c>
      <c r="D44" s="24" t="s">
        <v>360</v>
      </c>
      <c r="E44" s="24" t="s">
        <v>361</v>
      </c>
      <c r="F44" s="24" t="s">
        <v>218</v>
      </c>
      <c r="G44" s="24"/>
      <c r="H44" s="24" t="s">
        <v>146</v>
      </c>
      <c r="I44" s="24">
        <v>714</v>
      </c>
      <c r="J44" s="25" t="s">
        <v>220</v>
      </c>
      <c r="K44" s="25" t="s">
        <v>362</v>
      </c>
    </row>
    <row r="45" spans="1:11" ht="60" customHeight="1">
      <c r="A45" s="23" t="s">
        <v>92</v>
      </c>
      <c r="B45" s="24" t="s">
        <v>363</v>
      </c>
      <c r="C45" s="24" t="s">
        <v>364</v>
      </c>
      <c r="D45" s="24" t="s">
        <v>365</v>
      </c>
      <c r="E45" s="24"/>
      <c r="F45" s="24" t="s">
        <v>152</v>
      </c>
      <c r="G45" s="24"/>
      <c r="H45" s="24" t="s">
        <v>146</v>
      </c>
      <c r="I45" s="24" t="s">
        <v>225</v>
      </c>
      <c r="J45" s="25" t="s">
        <v>154</v>
      </c>
      <c r="K45" s="25"/>
    </row>
    <row r="46" spans="1:11" ht="60" customHeight="1">
      <c r="A46" s="23" t="s">
        <v>92</v>
      </c>
      <c r="B46" s="24" t="s">
        <v>366</v>
      </c>
      <c r="C46" s="24" t="s">
        <v>367</v>
      </c>
      <c r="D46" s="24" t="s">
        <v>368</v>
      </c>
      <c r="E46" s="24" t="s">
        <v>369</v>
      </c>
      <c r="F46" s="24" t="s">
        <v>218</v>
      </c>
      <c r="G46" s="24"/>
      <c r="H46" s="24" t="s">
        <v>146</v>
      </c>
      <c r="I46" s="24">
        <v>201</v>
      </c>
      <c r="J46" s="25" t="s">
        <v>220</v>
      </c>
      <c r="K46" s="25" t="s">
        <v>370</v>
      </c>
    </row>
    <row r="47" spans="1:11" ht="60" customHeight="1">
      <c r="A47" s="23" t="s">
        <v>92</v>
      </c>
      <c r="B47" s="24" t="s">
        <v>371</v>
      </c>
      <c r="C47" s="24" t="s">
        <v>372</v>
      </c>
      <c r="D47" s="24" t="s">
        <v>373</v>
      </c>
      <c r="E47" s="24"/>
      <c r="F47" s="24" t="s">
        <v>152</v>
      </c>
      <c r="G47" s="24"/>
      <c r="H47" s="24" t="s">
        <v>146</v>
      </c>
      <c r="I47" s="24" t="s">
        <v>374</v>
      </c>
      <c r="J47" s="25" t="s">
        <v>154</v>
      </c>
      <c r="K47" s="25"/>
    </row>
    <row r="48" spans="1:11" ht="60" customHeight="1">
      <c r="A48" s="23" t="s">
        <v>92</v>
      </c>
      <c r="B48" s="24" t="s">
        <v>375</v>
      </c>
      <c r="C48" s="24" t="s">
        <v>376</v>
      </c>
      <c r="D48" s="24" t="s">
        <v>377</v>
      </c>
      <c r="E48" s="24" t="s">
        <v>378</v>
      </c>
      <c r="F48" s="24" t="s">
        <v>254</v>
      </c>
      <c r="G48" s="24"/>
      <c r="H48" s="24" t="s">
        <v>146</v>
      </c>
      <c r="I48" s="24" t="s">
        <v>379</v>
      </c>
      <c r="J48" s="25" t="s">
        <v>256</v>
      </c>
      <c r="K48" s="25" t="s">
        <v>380</v>
      </c>
    </row>
    <row r="49" spans="1:11" ht="60" customHeight="1">
      <c r="A49" s="23" t="s">
        <v>92</v>
      </c>
      <c r="B49" s="24" t="s">
        <v>381</v>
      </c>
      <c r="C49" s="24" t="s">
        <v>382</v>
      </c>
      <c r="D49" s="24" t="s">
        <v>383</v>
      </c>
      <c r="E49" s="24"/>
      <c r="F49" s="24" t="s">
        <v>152</v>
      </c>
      <c r="G49" s="24"/>
      <c r="H49" s="24" t="s">
        <v>146</v>
      </c>
      <c r="I49" s="24" t="s">
        <v>237</v>
      </c>
      <c r="J49" s="25" t="s">
        <v>154</v>
      </c>
      <c r="K49" s="25"/>
    </row>
    <row r="50" spans="1:11" ht="60" customHeight="1">
      <c r="A50" s="23" t="s">
        <v>92</v>
      </c>
      <c r="B50" s="24" t="s">
        <v>384</v>
      </c>
      <c r="C50" s="24" t="s">
        <v>385</v>
      </c>
      <c r="D50" s="24" t="s">
        <v>386</v>
      </c>
      <c r="E50" s="24" t="s">
        <v>387</v>
      </c>
      <c r="F50" s="24" t="s">
        <v>285</v>
      </c>
      <c r="G50" s="24"/>
      <c r="H50" s="24" t="s">
        <v>146</v>
      </c>
      <c r="I50" s="24">
        <v>730525</v>
      </c>
      <c r="J50" s="25" t="s">
        <v>287</v>
      </c>
      <c r="K50" s="25" t="s">
        <v>388</v>
      </c>
    </row>
    <row r="51" spans="1:11" ht="60" customHeight="1">
      <c r="A51" s="23" t="s">
        <v>92</v>
      </c>
      <c r="B51" s="24" t="s">
        <v>389</v>
      </c>
      <c r="C51" s="24" t="s">
        <v>390</v>
      </c>
      <c r="D51" s="24" t="s">
        <v>391</v>
      </c>
      <c r="E51" s="24"/>
      <c r="F51" s="24" t="s">
        <v>392</v>
      </c>
      <c r="G51" s="24"/>
      <c r="H51" s="24" t="s">
        <v>146</v>
      </c>
      <c r="I51" s="24" t="s">
        <v>393</v>
      </c>
      <c r="J51" s="25" t="s">
        <v>394</v>
      </c>
      <c r="K51" s="25"/>
    </row>
    <row r="52" spans="1:11" ht="60" customHeight="1">
      <c r="A52" s="23" t="s">
        <v>92</v>
      </c>
      <c r="B52" s="24" t="s">
        <v>395</v>
      </c>
      <c r="C52" s="24" t="s">
        <v>396</v>
      </c>
      <c r="D52" s="24" t="s">
        <v>395</v>
      </c>
      <c r="E52" s="24" t="s">
        <v>397</v>
      </c>
      <c r="F52" s="24" t="s">
        <v>398</v>
      </c>
      <c r="G52" s="24"/>
      <c r="H52" s="24" t="s">
        <v>146</v>
      </c>
      <c r="I52" s="24" t="s">
        <v>399</v>
      </c>
      <c r="J52" s="25" t="s">
        <v>400</v>
      </c>
      <c r="K52" s="25" t="s">
        <v>401</v>
      </c>
    </row>
    <row r="53" spans="1:11" ht="60" customHeight="1">
      <c r="A53" s="23" t="s">
        <v>92</v>
      </c>
      <c r="B53" s="24" t="s">
        <v>402</v>
      </c>
      <c r="C53" s="24" t="s">
        <v>403</v>
      </c>
      <c r="D53" s="24" t="s">
        <v>404</v>
      </c>
      <c r="E53" s="24" t="s">
        <v>405</v>
      </c>
      <c r="F53" s="24" t="s">
        <v>230</v>
      </c>
      <c r="G53" s="24"/>
      <c r="H53" s="24" t="s">
        <v>146</v>
      </c>
      <c r="I53" s="24">
        <v>70630</v>
      </c>
      <c r="J53" s="25" t="s">
        <v>232</v>
      </c>
      <c r="K53" s="25" t="s">
        <v>406</v>
      </c>
    </row>
    <row r="54" spans="1:11" ht="60" customHeight="1">
      <c r="A54" s="23" t="s">
        <v>92</v>
      </c>
      <c r="B54" s="24" t="s">
        <v>407</v>
      </c>
      <c r="C54" s="24" t="s">
        <v>408</v>
      </c>
      <c r="D54" s="24" t="s">
        <v>409</v>
      </c>
      <c r="E54" s="24"/>
      <c r="F54" s="24" t="s">
        <v>152</v>
      </c>
      <c r="G54" s="24"/>
      <c r="H54" s="24" t="s">
        <v>146</v>
      </c>
      <c r="I54" s="24" t="s">
        <v>410</v>
      </c>
      <c r="J54" s="25" t="s">
        <v>154</v>
      </c>
      <c r="K54" s="25"/>
    </row>
    <row r="55" spans="1:11" ht="60" customHeight="1">
      <c r="A55" s="23" t="s">
        <v>92</v>
      </c>
      <c r="B55" s="24" t="s">
        <v>411</v>
      </c>
      <c r="C55" s="24" t="s">
        <v>412</v>
      </c>
      <c r="D55" s="24" t="s">
        <v>411</v>
      </c>
      <c r="E55" s="24" t="s">
        <v>413</v>
      </c>
      <c r="F55" s="24" t="s">
        <v>254</v>
      </c>
      <c r="G55" s="24"/>
      <c r="H55" s="24" t="s">
        <v>146</v>
      </c>
      <c r="I55" s="24" t="s">
        <v>414</v>
      </c>
      <c r="J55" s="25" t="s">
        <v>256</v>
      </c>
      <c r="K55" s="25" t="s">
        <v>415</v>
      </c>
    </row>
    <row r="56" spans="1:11" ht="60" customHeight="1">
      <c r="A56" s="23" t="s">
        <v>92</v>
      </c>
      <c r="B56" s="24" t="s">
        <v>416</v>
      </c>
      <c r="C56" s="24" t="s">
        <v>417</v>
      </c>
      <c r="D56" s="24" t="s">
        <v>418</v>
      </c>
      <c r="E56" s="24"/>
      <c r="F56" s="24" t="s">
        <v>152</v>
      </c>
      <c r="G56" s="24"/>
      <c r="H56" s="24" t="s">
        <v>146</v>
      </c>
      <c r="I56" s="24" t="s">
        <v>419</v>
      </c>
      <c r="J56" s="25" t="s">
        <v>154</v>
      </c>
      <c r="K56" s="25"/>
    </row>
    <row r="57" spans="1:11" ht="60" customHeight="1">
      <c r="A57" s="23" t="s">
        <v>92</v>
      </c>
      <c r="B57" s="24" t="s">
        <v>420</v>
      </c>
      <c r="C57" s="24" t="s">
        <v>421</v>
      </c>
      <c r="D57" s="24" t="s">
        <v>420</v>
      </c>
      <c r="E57" s="24" t="s">
        <v>422</v>
      </c>
      <c r="F57" s="24" t="s">
        <v>398</v>
      </c>
      <c r="G57" s="24"/>
      <c r="H57" s="24" t="s">
        <v>146</v>
      </c>
      <c r="I57" s="24" t="s">
        <v>423</v>
      </c>
      <c r="J57" s="25" t="s">
        <v>400</v>
      </c>
      <c r="K57" s="25" t="s">
        <v>424</v>
      </c>
    </row>
    <row r="58" spans="1:11" ht="60" customHeight="1">
      <c r="A58" s="23" t="s">
        <v>92</v>
      </c>
      <c r="B58" s="24" t="s">
        <v>425</v>
      </c>
      <c r="C58" s="24" t="s">
        <v>426</v>
      </c>
      <c r="D58" s="24" t="s">
        <v>427</v>
      </c>
      <c r="E58" s="24" t="s">
        <v>428</v>
      </c>
      <c r="F58" s="24" t="s">
        <v>182</v>
      </c>
      <c r="G58" s="24"/>
      <c r="H58" s="24" t="s">
        <v>146</v>
      </c>
      <c r="I58" s="24">
        <v>70</v>
      </c>
      <c r="J58" s="25" t="s">
        <v>184</v>
      </c>
      <c r="K58" s="25" t="s">
        <v>429</v>
      </c>
    </row>
    <row r="59" spans="1:11" ht="60" customHeight="1">
      <c r="A59" s="23" t="s">
        <v>92</v>
      </c>
      <c r="B59" s="24" t="s">
        <v>430</v>
      </c>
      <c r="C59" s="24" t="s">
        <v>431</v>
      </c>
      <c r="D59" s="24" t="s">
        <v>432</v>
      </c>
      <c r="E59" s="24"/>
      <c r="F59" s="24" t="s">
        <v>200</v>
      </c>
      <c r="G59" s="24"/>
      <c r="H59" s="24" t="s">
        <v>146</v>
      </c>
      <c r="I59" s="24" t="s">
        <v>153</v>
      </c>
      <c r="J59" s="25" t="s">
        <v>201</v>
      </c>
      <c r="K59" s="25"/>
    </row>
    <row r="60" spans="1:11" ht="60" customHeight="1">
      <c r="A60" s="23" t="s">
        <v>92</v>
      </c>
      <c r="B60" s="24" t="s">
        <v>433</v>
      </c>
      <c r="C60" s="24" t="s">
        <v>434</v>
      </c>
      <c r="D60" s="24" t="s">
        <v>435</v>
      </c>
      <c r="E60" s="24" t="s">
        <v>436</v>
      </c>
      <c r="F60" s="24" t="s">
        <v>182</v>
      </c>
      <c r="G60" s="24"/>
      <c r="H60" s="24" t="s">
        <v>146</v>
      </c>
      <c r="I60" s="24">
        <v>4</v>
      </c>
      <c r="J60" s="25" t="s">
        <v>184</v>
      </c>
      <c r="K60" s="25" t="s">
        <v>437</v>
      </c>
    </row>
    <row r="61" spans="1:11" ht="60" customHeight="1">
      <c r="A61" s="23" t="s">
        <v>92</v>
      </c>
      <c r="B61" s="24" t="s">
        <v>438</v>
      </c>
      <c r="C61" s="24" t="s">
        <v>439</v>
      </c>
      <c r="D61" s="24" t="s">
        <v>440</v>
      </c>
      <c r="E61" s="24"/>
      <c r="F61" s="24" t="s">
        <v>152</v>
      </c>
      <c r="G61" s="24"/>
      <c r="H61" s="24" t="s">
        <v>146</v>
      </c>
      <c r="I61" s="24" t="s">
        <v>441</v>
      </c>
      <c r="J61" s="25" t="s">
        <v>154</v>
      </c>
      <c r="K61" s="25"/>
    </row>
    <row r="62" spans="1:11" ht="60" customHeight="1">
      <c r="A62" s="23" t="s">
        <v>92</v>
      </c>
      <c r="B62" s="24" t="s">
        <v>442</v>
      </c>
      <c r="C62" s="24" t="s">
        <v>443</v>
      </c>
      <c r="D62" s="24" t="s">
        <v>444</v>
      </c>
      <c r="E62" s="24" t="s">
        <v>445</v>
      </c>
      <c r="F62" s="24" t="s">
        <v>218</v>
      </c>
      <c r="G62" s="24"/>
      <c r="H62" s="24" t="s">
        <v>146</v>
      </c>
      <c r="I62" s="24" t="s">
        <v>446</v>
      </c>
      <c r="J62" s="25" t="s">
        <v>220</v>
      </c>
      <c r="K62" s="25" t="s">
        <v>447</v>
      </c>
    </row>
    <row r="63" spans="1:11" ht="60" customHeight="1">
      <c r="A63" s="23" t="s">
        <v>92</v>
      </c>
      <c r="B63" s="24" t="s">
        <v>448</v>
      </c>
      <c r="C63" s="24" t="s">
        <v>449</v>
      </c>
      <c r="D63" s="24" t="s">
        <v>450</v>
      </c>
      <c r="E63" s="24"/>
      <c r="F63" s="24" t="s">
        <v>152</v>
      </c>
      <c r="G63" s="24"/>
      <c r="H63" s="24" t="s">
        <v>146</v>
      </c>
      <c r="I63" s="24" t="s">
        <v>451</v>
      </c>
      <c r="J63" s="25" t="s">
        <v>154</v>
      </c>
      <c r="K63" s="25"/>
    </row>
    <row r="64" spans="1:11" ht="60" customHeight="1">
      <c r="A64" s="23" t="s">
        <v>92</v>
      </c>
      <c r="B64" s="24" t="s">
        <v>452</v>
      </c>
      <c r="C64" s="24" t="s">
        <v>453</v>
      </c>
      <c r="D64" s="24" t="s">
        <v>454</v>
      </c>
      <c r="E64" s="24" t="s">
        <v>455</v>
      </c>
      <c r="F64" s="24" t="s">
        <v>218</v>
      </c>
      <c r="G64" s="24"/>
      <c r="H64" s="24" t="s">
        <v>146</v>
      </c>
      <c r="I64" s="24" t="s">
        <v>456</v>
      </c>
      <c r="J64" s="25" t="s">
        <v>220</v>
      </c>
      <c r="K64" s="25" t="s">
        <v>457</v>
      </c>
    </row>
    <row r="65" spans="1:11" ht="60" customHeight="1">
      <c r="A65" s="23" t="s">
        <v>92</v>
      </c>
      <c r="B65" s="24" t="s">
        <v>458</v>
      </c>
      <c r="C65" s="24" t="s">
        <v>459</v>
      </c>
      <c r="D65" s="24" t="s">
        <v>460</v>
      </c>
      <c r="E65" s="24"/>
      <c r="F65" s="24" t="s">
        <v>152</v>
      </c>
      <c r="G65" s="24"/>
      <c r="H65" s="24" t="s">
        <v>146</v>
      </c>
      <c r="I65" s="24" t="s">
        <v>461</v>
      </c>
      <c r="J65" s="25" t="s">
        <v>154</v>
      </c>
      <c r="K65" s="25"/>
    </row>
    <row r="66" spans="1:11" ht="60" customHeight="1">
      <c r="A66" s="23" t="s">
        <v>92</v>
      </c>
      <c r="B66" s="24" t="s">
        <v>462</v>
      </c>
      <c r="C66" s="24" t="s">
        <v>463</v>
      </c>
      <c r="D66" s="24" t="s">
        <v>464</v>
      </c>
      <c r="E66" s="24" t="s">
        <v>465</v>
      </c>
      <c r="F66" s="24" t="s">
        <v>170</v>
      </c>
      <c r="G66" s="24"/>
      <c r="H66" s="24" t="s">
        <v>146</v>
      </c>
      <c r="I66" s="24" t="s">
        <v>23</v>
      </c>
      <c r="J66" s="25" t="s">
        <v>172</v>
      </c>
      <c r="K66" s="25" t="s">
        <v>466</v>
      </c>
    </row>
    <row r="67" spans="1:11" ht="60" customHeight="1">
      <c r="A67" s="23" t="s">
        <v>92</v>
      </c>
      <c r="B67" s="24" t="s">
        <v>467</v>
      </c>
      <c r="C67" s="24" t="s">
        <v>468</v>
      </c>
      <c r="D67" s="24" t="s">
        <v>469</v>
      </c>
      <c r="E67" s="24"/>
      <c r="F67" s="24" t="s">
        <v>152</v>
      </c>
      <c r="G67" s="24"/>
      <c r="H67" s="24" t="s">
        <v>146</v>
      </c>
      <c r="I67" s="24" t="s">
        <v>470</v>
      </c>
      <c r="J67" s="25" t="s">
        <v>154</v>
      </c>
      <c r="K67" s="25"/>
    </row>
    <row r="68" spans="1:11" ht="60" customHeight="1">
      <c r="A68" s="23" t="s">
        <v>92</v>
      </c>
      <c r="B68" s="24" t="s">
        <v>471</v>
      </c>
      <c r="C68" s="24" t="s">
        <v>472</v>
      </c>
      <c r="D68" s="24" t="s">
        <v>473</v>
      </c>
      <c r="E68" s="24" t="s">
        <v>474</v>
      </c>
      <c r="F68" s="24" t="s">
        <v>170</v>
      </c>
      <c r="G68" s="24"/>
      <c r="H68" s="24" t="s">
        <v>146</v>
      </c>
      <c r="I68" s="24" t="s">
        <v>23</v>
      </c>
      <c r="J68" s="25" t="s">
        <v>172</v>
      </c>
      <c r="K68" s="25" t="s">
        <v>475</v>
      </c>
    </row>
    <row r="69" spans="1:11" ht="60" customHeight="1">
      <c r="A69" s="23" t="s">
        <v>92</v>
      </c>
      <c r="B69" s="24" t="s">
        <v>476</v>
      </c>
      <c r="C69" s="24" t="s">
        <v>477</v>
      </c>
      <c r="D69" s="24" t="s">
        <v>478</v>
      </c>
      <c r="E69" s="24"/>
      <c r="F69" s="24" t="s">
        <v>152</v>
      </c>
      <c r="G69" s="24"/>
      <c r="H69" s="24" t="s">
        <v>146</v>
      </c>
      <c r="I69" s="24" t="s">
        <v>470</v>
      </c>
      <c r="J69" s="25" t="s">
        <v>154</v>
      </c>
      <c r="K69" s="25"/>
    </row>
    <row r="70" spans="1:11" ht="60" customHeight="1">
      <c r="A70" s="23" t="s">
        <v>92</v>
      </c>
      <c r="B70" s="24" t="s">
        <v>479</v>
      </c>
      <c r="C70" s="24" t="s">
        <v>480</v>
      </c>
      <c r="D70" s="24" t="s">
        <v>481</v>
      </c>
      <c r="E70" s="24" t="s">
        <v>482</v>
      </c>
      <c r="F70" s="24" t="s">
        <v>483</v>
      </c>
      <c r="G70" s="24"/>
      <c r="H70" s="24" t="s">
        <v>146</v>
      </c>
      <c r="I70" s="24" t="s">
        <v>484</v>
      </c>
      <c r="J70" s="25" t="s">
        <v>485</v>
      </c>
      <c r="K70" s="25" t="s">
        <v>486</v>
      </c>
    </row>
    <row r="71" spans="1:11" ht="60" customHeight="1">
      <c r="A71" s="23" t="s">
        <v>92</v>
      </c>
      <c r="B71" s="24" t="s">
        <v>487</v>
      </c>
      <c r="C71" s="24" t="s">
        <v>488</v>
      </c>
      <c r="D71" s="24" t="s">
        <v>489</v>
      </c>
      <c r="E71" s="24"/>
      <c r="F71" s="24" t="s">
        <v>392</v>
      </c>
      <c r="G71" s="24"/>
      <c r="H71" s="24" t="s">
        <v>146</v>
      </c>
      <c r="I71" s="24" t="s">
        <v>490</v>
      </c>
      <c r="J71" s="25" t="s">
        <v>394</v>
      </c>
      <c r="K71" s="25"/>
    </row>
    <row r="72" spans="1:11" ht="60" customHeight="1">
      <c r="A72" s="23" t="s">
        <v>92</v>
      </c>
      <c r="B72" s="24" t="s">
        <v>491</v>
      </c>
      <c r="C72" s="24" t="s">
        <v>492</v>
      </c>
      <c r="D72" s="24" t="s">
        <v>493</v>
      </c>
      <c r="E72" s="24" t="s">
        <v>494</v>
      </c>
      <c r="F72" s="24" t="s">
        <v>182</v>
      </c>
      <c r="G72" s="24"/>
      <c r="H72" s="24" t="s">
        <v>146</v>
      </c>
      <c r="I72" s="24" t="s">
        <v>495</v>
      </c>
      <c r="J72" s="25" t="s">
        <v>184</v>
      </c>
      <c r="K72" s="25" t="s">
        <v>496</v>
      </c>
    </row>
    <row r="73" spans="1:11" ht="60" customHeight="1">
      <c r="A73" s="23" t="s">
        <v>92</v>
      </c>
      <c r="B73" s="24" t="s">
        <v>497</v>
      </c>
      <c r="C73" s="24" t="s">
        <v>498</v>
      </c>
      <c r="D73" s="24" t="s">
        <v>499</v>
      </c>
      <c r="E73" s="24"/>
      <c r="F73" s="24" t="s">
        <v>500</v>
      </c>
      <c r="G73" s="24"/>
      <c r="H73" s="24" t="s">
        <v>146</v>
      </c>
      <c r="I73" s="24" t="s">
        <v>501</v>
      </c>
      <c r="J73" s="25" t="s">
        <v>502</v>
      </c>
      <c r="K73" s="25"/>
    </row>
    <row r="74" spans="1:11" ht="60" customHeight="1">
      <c r="A74" s="23" t="s">
        <v>92</v>
      </c>
      <c r="B74" s="24" t="s">
        <v>503</v>
      </c>
      <c r="C74" s="24" t="s">
        <v>504</v>
      </c>
      <c r="D74" s="24" t="s">
        <v>505</v>
      </c>
      <c r="E74" s="24" t="s">
        <v>506</v>
      </c>
      <c r="F74" s="24" t="s">
        <v>182</v>
      </c>
      <c r="G74" s="24"/>
      <c r="H74" s="24" t="s">
        <v>146</v>
      </c>
      <c r="I74" s="24" t="s">
        <v>495</v>
      </c>
      <c r="J74" s="25" t="s">
        <v>184</v>
      </c>
      <c r="K74" s="25" t="s">
        <v>507</v>
      </c>
    </row>
    <row r="75" spans="1:11" ht="60" customHeight="1">
      <c r="A75" s="23" t="s">
        <v>92</v>
      </c>
      <c r="B75" s="24" t="s">
        <v>508</v>
      </c>
      <c r="C75" s="24" t="s">
        <v>509</v>
      </c>
      <c r="D75" s="24" t="s">
        <v>510</v>
      </c>
      <c r="E75" s="24"/>
      <c r="F75" s="24" t="s">
        <v>500</v>
      </c>
      <c r="G75" s="24"/>
      <c r="H75" s="24" t="s">
        <v>146</v>
      </c>
      <c r="I75" s="24" t="s">
        <v>501</v>
      </c>
      <c r="J75" s="25" t="s">
        <v>502</v>
      </c>
      <c r="K75" s="25"/>
    </row>
    <row r="76" spans="1:11" ht="60" customHeight="1">
      <c r="A76" s="23" t="s">
        <v>92</v>
      </c>
      <c r="B76" s="24" t="s">
        <v>511</v>
      </c>
      <c r="C76" s="24" t="s">
        <v>512</v>
      </c>
      <c r="D76" s="24" t="s">
        <v>513</v>
      </c>
      <c r="E76" s="24" t="s">
        <v>514</v>
      </c>
      <c r="F76" s="24" t="s">
        <v>268</v>
      </c>
      <c r="G76" s="24"/>
      <c r="H76" s="24" t="s">
        <v>146</v>
      </c>
      <c r="I76" s="24" t="s">
        <v>515</v>
      </c>
      <c r="J76" s="25" t="s">
        <v>270</v>
      </c>
      <c r="K76" s="25" t="s">
        <v>516</v>
      </c>
    </row>
    <row r="77" spans="1:11" ht="60" customHeight="1">
      <c r="A77" s="23" t="s">
        <v>92</v>
      </c>
      <c r="B77" s="24" t="s">
        <v>517</v>
      </c>
      <c r="C77" s="24" t="s">
        <v>518</v>
      </c>
      <c r="D77" s="24" t="s">
        <v>519</v>
      </c>
      <c r="E77" s="24"/>
      <c r="F77" s="24" t="s">
        <v>152</v>
      </c>
      <c r="G77" s="24"/>
      <c r="H77" s="24" t="s">
        <v>146</v>
      </c>
      <c r="I77" s="24" t="s">
        <v>520</v>
      </c>
      <c r="J77" s="25" t="s">
        <v>154</v>
      </c>
      <c r="K77" s="25"/>
    </row>
    <row r="78" spans="1:11" ht="60" customHeight="1">
      <c r="A78" s="23" t="s">
        <v>92</v>
      </c>
      <c r="B78" s="24" t="s">
        <v>521</v>
      </c>
      <c r="C78" s="24" t="s">
        <v>522</v>
      </c>
      <c r="D78" s="24" t="s">
        <v>523</v>
      </c>
      <c r="E78" s="24" t="s">
        <v>524</v>
      </c>
      <c r="F78" s="24" t="s">
        <v>170</v>
      </c>
      <c r="G78" s="24"/>
      <c r="H78" s="24" t="s">
        <v>146</v>
      </c>
      <c r="I78" s="24" t="s">
        <v>525</v>
      </c>
      <c r="J78" s="25" t="s">
        <v>172</v>
      </c>
      <c r="K78" s="25" t="s">
        <v>526</v>
      </c>
    </row>
    <row r="79" spans="1:11" ht="60" customHeight="1">
      <c r="A79" s="23" t="s">
        <v>92</v>
      </c>
      <c r="B79" s="24" t="s">
        <v>527</v>
      </c>
      <c r="C79" s="24" t="s">
        <v>528</v>
      </c>
      <c r="D79" s="24" t="s">
        <v>529</v>
      </c>
      <c r="E79" s="24"/>
      <c r="F79" s="24" t="s">
        <v>530</v>
      </c>
      <c r="G79" s="24"/>
      <c r="H79" s="24" t="s">
        <v>146</v>
      </c>
      <c r="I79" s="24" t="s">
        <v>531</v>
      </c>
      <c r="J79" s="25" t="s">
        <v>532</v>
      </c>
      <c r="K79" s="25"/>
    </row>
    <row r="80" spans="1:11" ht="60" customHeight="1">
      <c r="A80" s="23" t="s">
        <v>92</v>
      </c>
      <c r="B80" s="24" t="s">
        <v>533</v>
      </c>
      <c r="C80" s="24" t="s">
        <v>534</v>
      </c>
      <c r="D80" s="24" t="s">
        <v>533</v>
      </c>
      <c r="E80" s="24" t="s">
        <v>535</v>
      </c>
      <c r="F80" s="24" t="s">
        <v>285</v>
      </c>
      <c r="G80" s="24"/>
      <c r="H80" s="24"/>
      <c r="I80" s="24" t="s">
        <v>536</v>
      </c>
      <c r="J80" s="25" t="s">
        <v>537</v>
      </c>
      <c r="K80" s="25" t="s">
        <v>538</v>
      </c>
    </row>
    <row r="81" spans="1:11" ht="60" customHeight="1">
      <c r="A81" s="23" t="s">
        <v>92</v>
      </c>
      <c r="B81" s="24" t="s">
        <v>539</v>
      </c>
      <c r="C81" s="24" t="s">
        <v>540</v>
      </c>
      <c r="D81" s="24" t="s">
        <v>539</v>
      </c>
      <c r="E81" s="24"/>
      <c r="F81" s="24" t="s">
        <v>308</v>
      </c>
      <c r="G81" s="24"/>
      <c r="H81" s="24"/>
      <c r="I81" s="24" t="s">
        <v>536</v>
      </c>
      <c r="J81" s="25" t="s">
        <v>541</v>
      </c>
      <c r="K81" s="25"/>
    </row>
    <row r="82" spans="1:11" ht="60" customHeight="1">
      <c r="A82" s="23" t="s">
        <v>92</v>
      </c>
      <c r="B82" s="24" t="s">
        <v>542</v>
      </c>
      <c r="C82" s="24" t="s">
        <v>542</v>
      </c>
      <c r="D82" s="24" t="s">
        <v>543</v>
      </c>
      <c r="E82" s="24" t="s">
        <v>544</v>
      </c>
      <c r="F82" s="24" t="s">
        <v>182</v>
      </c>
      <c r="G82" s="24"/>
      <c r="H82" s="24" t="s">
        <v>146</v>
      </c>
      <c r="I82" s="24" t="s">
        <v>545</v>
      </c>
      <c r="J82" s="25" t="s">
        <v>184</v>
      </c>
      <c r="K82" s="25" t="s">
        <v>546</v>
      </c>
    </row>
    <row r="83" spans="1:11" ht="60" customHeight="1">
      <c r="A83" s="23" t="s">
        <v>92</v>
      </c>
      <c r="B83" s="24" t="s">
        <v>547</v>
      </c>
      <c r="C83" s="24" t="s">
        <v>547</v>
      </c>
      <c r="D83" s="24" t="s">
        <v>548</v>
      </c>
      <c r="E83" s="24"/>
      <c r="F83" s="24" t="s">
        <v>549</v>
      </c>
      <c r="G83" s="24"/>
      <c r="H83" s="24" t="s">
        <v>146</v>
      </c>
      <c r="I83" s="24" t="s">
        <v>410</v>
      </c>
      <c r="J83" s="25" t="s">
        <v>550</v>
      </c>
      <c r="K83" s="25"/>
    </row>
    <row r="84" spans="1:11" ht="60" customHeight="1">
      <c r="A84" s="23" t="s">
        <v>92</v>
      </c>
      <c r="B84" s="24" t="s">
        <v>551</v>
      </c>
      <c r="C84" s="24" t="s">
        <v>552</v>
      </c>
      <c r="D84" s="24" t="s">
        <v>553</v>
      </c>
      <c r="E84" s="24" t="s">
        <v>554</v>
      </c>
      <c r="F84" s="24" t="s">
        <v>254</v>
      </c>
      <c r="G84" s="24"/>
      <c r="H84" s="24" t="s">
        <v>146</v>
      </c>
      <c r="I84" s="24" t="s">
        <v>555</v>
      </c>
      <c r="J84" s="25" t="s">
        <v>256</v>
      </c>
      <c r="K84" s="25" t="s">
        <v>556</v>
      </c>
    </row>
    <row r="85" spans="1:11" ht="60" customHeight="1">
      <c r="A85" s="23" t="s">
        <v>92</v>
      </c>
      <c r="B85" s="24" t="s">
        <v>557</v>
      </c>
      <c r="C85" s="24" t="s">
        <v>558</v>
      </c>
      <c r="D85" s="24" t="s">
        <v>559</v>
      </c>
      <c r="E85" s="24"/>
      <c r="F85" s="24" t="s">
        <v>152</v>
      </c>
      <c r="G85" s="24"/>
      <c r="H85" s="24" t="s">
        <v>146</v>
      </c>
      <c r="I85" s="24" t="s">
        <v>560</v>
      </c>
      <c r="J85" s="25" t="s">
        <v>154</v>
      </c>
      <c r="K85" s="25"/>
    </row>
    <row r="86" spans="1:11" ht="60" customHeight="1">
      <c r="A86" s="23" t="s">
        <v>92</v>
      </c>
      <c r="B86" s="24" t="s">
        <v>561</v>
      </c>
      <c r="C86" s="24" t="s">
        <v>562</v>
      </c>
      <c r="D86" s="24" t="s">
        <v>563</v>
      </c>
      <c r="E86" s="24" t="s">
        <v>564</v>
      </c>
      <c r="F86" s="24" t="s">
        <v>285</v>
      </c>
      <c r="G86" s="24"/>
      <c r="H86" s="24" t="s">
        <v>146</v>
      </c>
      <c r="I86" s="24">
        <v>11532198</v>
      </c>
      <c r="J86" s="25" t="s">
        <v>287</v>
      </c>
      <c r="K86" s="25" t="s">
        <v>565</v>
      </c>
    </row>
    <row r="87" spans="1:11" ht="60" customHeight="1">
      <c r="A87" s="23" t="s">
        <v>92</v>
      </c>
      <c r="B87" s="24" t="s">
        <v>566</v>
      </c>
      <c r="C87" s="24" t="s">
        <v>567</v>
      </c>
      <c r="D87" s="24" t="s">
        <v>568</v>
      </c>
      <c r="E87" s="24"/>
      <c r="F87" s="24" t="s">
        <v>330</v>
      </c>
      <c r="G87" s="24"/>
      <c r="H87" s="24" t="s">
        <v>146</v>
      </c>
      <c r="I87" s="24" t="s">
        <v>569</v>
      </c>
      <c r="J87" s="25" t="s">
        <v>332</v>
      </c>
      <c r="K87" s="25"/>
    </row>
    <row r="88" spans="1:11" ht="60" customHeight="1">
      <c r="A88" s="23" t="s">
        <v>92</v>
      </c>
      <c r="B88" s="24" t="s">
        <v>570</v>
      </c>
      <c r="C88" s="24" t="s">
        <v>571</v>
      </c>
      <c r="D88" s="24" t="s">
        <v>572</v>
      </c>
      <c r="E88" s="24" t="s">
        <v>573</v>
      </c>
      <c r="F88" s="24" t="s">
        <v>268</v>
      </c>
      <c r="G88" s="24"/>
      <c r="H88" s="24" t="s">
        <v>146</v>
      </c>
      <c r="I88" s="24" t="s">
        <v>574</v>
      </c>
      <c r="J88" s="25" t="s">
        <v>270</v>
      </c>
      <c r="K88" s="25" t="s">
        <v>575</v>
      </c>
    </row>
    <row r="89" spans="1:11" ht="60" customHeight="1">
      <c r="A89" s="23" t="s">
        <v>92</v>
      </c>
      <c r="B89" s="24" t="s">
        <v>576</v>
      </c>
      <c r="C89" s="24" t="s">
        <v>577</v>
      </c>
      <c r="D89" s="24" t="s">
        <v>578</v>
      </c>
      <c r="E89" s="24"/>
      <c r="F89" s="24" t="s">
        <v>152</v>
      </c>
      <c r="G89" s="24"/>
      <c r="H89" s="24" t="s">
        <v>146</v>
      </c>
      <c r="I89" s="24" t="s">
        <v>579</v>
      </c>
      <c r="J89" s="25" t="s">
        <v>154</v>
      </c>
      <c r="K89" s="25"/>
    </row>
    <row r="90" spans="1:11" ht="60" customHeight="1">
      <c r="A90" s="23" t="s">
        <v>92</v>
      </c>
      <c r="B90" s="24" t="s">
        <v>580</v>
      </c>
      <c r="C90" s="24" t="s">
        <v>581</v>
      </c>
      <c r="D90" s="24" t="s">
        <v>582</v>
      </c>
      <c r="E90" s="24" t="s">
        <v>583</v>
      </c>
      <c r="F90" s="24" t="s">
        <v>285</v>
      </c>
      <c r="G90" s="24"/>
      <c r="H90" s="24" t="s">
        <v>146</v>
      </c>
      <c r="I90" s="24">
        <v>11532198</v>
      </c>
      <c r="J90" s="25" t="s">
        <v>287</v>
      </c>
      <c r="K90" s="25" t="s">
        <v>584</v>
      </c>
    </row>
    <row r="91" spans="1:11" ht="60" customHeight="1">
      <c r="A91" s="23" t="s">
        <v>92</v>
      </c>
      <c r="B91" s="24" t="s">
        <v>585</v>
      </c>
      <c r="C91" s="24" t="s">
        <v>586</v>
      </c>
      <c r="D91" s="24" t="s">
        <v>587</v>
      </c>
      <c r="E91" s="24"/>
      <c r="F91" s="24" t="s">
        <v>330</v>
      </c>
      <c r="G91" s="24"/>
      <c r="H91" s="24" t="s">
        <v>146</v>
      </c>
      <c r="I91" s="24" t="s">
        <v>569</v>
      </c>
      <c r="J91" s="25" t="s">
        <v>332</v>
      </c>
      <c r="K91" s="25"/>
    </row>
    <row r="92" spans="1:11" ht="60" customHeight="1">
      <c r="A92" s="23" t="s">
        <v>92</v>
      </c>
      <c r="B92" s="24" t="s">
        <v>588</v>
      </c>
      <c r="C92" s="24" t="s">
        <v>589</v>
      </c>
      <c r="D92" s="24" t="s">
        <v>590</v>
      </c>
      <c r="E92" s="24" t="s">
        <v>591</v>
      </c>
      <c r="F92" s="24" t="s">
        <v>268</v>
      </c>
      <c r="G92" s="24"/>
      <c r="H92" s="24" t="s">
        <v>146</v>
      </c>
      <c r="I92" s="24" t="s">
        <v>592</v>
      </c>
      <c r="J92" s="25" t="s">
        <v>270</v>
      </c>
      <c r="K92" s="25" t="s">
        <v>593</v>
      </c>
    </row>
    <row r="93" spans="1:11" ht="60" customHeight="1">
      <c r="A93" s="23" t="s">
        <v>92</v>
      </c>
      <c r="B93" s="24" t="s">
        <v>594</v>
      </c>
      <c r="C93" s="24" t="s">
        <v>595</v>
      </c>
      <c r="D93" s="24" t="s">
        <v>596</v>
      </c>
      <c r="E93" s="24"/>
      <c r="F93" s="24" t="s">
        <v>152</v>
      </c>
      <c r="G93" s="24"/>
      <c r="H93" s="24" t="s">
        <v>146</v>
      </c>
      <c r="I93" s="24" t="s">
        <v>579</v>
      </c>
      <c r="J93" s="25" t="s">
        <v>154</v>
      </c>
      <c r="K93" s="25"/>
    </row>
    <row r="94" spans="1:11" ht="60" customHeight="1">
      <c r="A94" s="23" t="s">
        <v>92</v>
      </c>
      <c r="B94" s="24" t="s">
        <v>597</v>
      </c>
      <c r="C94" s="24" t="s">
        <v>598</v>
      </c>
      <c r="D94" s="24" t="s">
        <v>599</v>
      </c>
      <c r="E94" s="24" t="s">
        <v>600</v>
      </c>
      <c r="F94" s="24" t="s">
        <v>218</v>
      </c>
      <c r="G94" s="24"/>
      <c r="H94" s="24" t="s">
        <v>146</v>
      </c>
      <c r="I94" s="24" t="s">
        <v>601</v>
      </c>
      <c r="J94" s="25" t="s">
        <v>220</v>
      </c>
      <c r="K94" s="25" t="s">
        <v>602</v>
      </c>
    </row>
    <row r="95" spans="1:11" ht="60" customHeight="1">
      <c r="A95" s="23" t="s">
        <v>92</v>
      </c>
      <c r="B95" s="24" t="s">
        <v>603</v>
      </c>
      <c r="C95" s="24" t="s">
        <v>604</v>
      </c>
      <c r="D95" s="24" t="s">
        <v>605</v>
      </c>
      <c r="E95" s="24"/>
      <c r="F95" s="24" t="s">
        <v>152</v>
      </c>
      <c r="G95" s="24"/>
      <c r="H95" s="24" t="s">
        <v>146</v>
      </c>
      <c r="I95" s="24" t="s">
        <v>606</v>
      </c>
      <c r="J95" s="25" t="s">
        <v>154</v>
      </c>
      <c r="K95" s="25"/>
    </row>
    <row r="96" spans="1:11" ht="24" customHeight="1">
      <c r="A96" s="23" t="s">
        <v>92</v>
      </c>
      <c r="B96" s="24" t="s">
        <v>607</v>
      </c>
      <c r="C96" s="24" t="s">
        <v>608</v>
      </c>
      <c r="D96" s="24" t="s">
        <v>609</v>
      </c>
      <c r="E96" s="24" t="s">
        <v>610</v>
      </c>
      <c r="F96" s="24" t="s">
        <v>218</v>
      </c>
      <c r="G96" s="24"/>
      <c r="H96" s="24" t="s">
        <v>146</v>
      </c>
      <c r="I96" s="24" t="s">
        <v>601</v>
      </c>
      <c r="J96" s="25" t="s">
        <v>220</v>
      </c>
      <c r="K96" s="25" t="s">
        <v>611</v>
      </c>
    </row>
    <row r="97" spans="1:11" ht="24" customHeight="1">
      <c r="A97" s="23" t="s">
        <v>92</v>
      </c>
      <c r="B97" s="24" t="s">
        <v>612</v>
      </c>
      <c r="C97" s="24" t="s">
        <v>613</v>
      </c>
      <c r="D97" s="24" t="s">
        <v>614</v>
      </c>
      <c r="E97" s="24"/>
      <c r="F97" s="24" t="s">
        <v>152</v>
      </c>
      <c r="G97" s="24"/>
      <c r="H97" s="24" t="s">
        <v>146</v>
      </c>
      <c r="I97" s="24" t="s">
        <v>606</v>
      </c>
      <c r="J97" s="25" t="s">
        <v>154</v>
      </c>
      <c r="K97" s="25"/>
    </row>
    <row r="98" spans="1:11" ht="48">
      <c r="A98" s="23" t="s">
        <v>92</v>
      </c>
      <c r="B98" s="24" t="s">
        <v>615</v>
      </c>
      <c r="C98" s="24" t="s">
        <v>616</v>
      </c>
      <c r="D98" s="24" t="s">
        <v>617</v>
      </c>
      <c r="E98" s="24" t="s">
        <v>618</v>
      </c>
      <c r="F98" s="24" t="s">
        <v>285</v>
      </c>
      <c r="G98" s="24"/>
      <c r="H98" s="24" t="s">
        <v>146</v>
      </c>
      <c r="I98" s="24" t="s">
        <v>619</v>
      </c>
      <c r="J98" s="25" t="s">
        <v>287</v>
      </c>
      <c r="K98" s="25" t="s">
        <v>620</v>
      </c>
    </row>
    <row r="99" spans="1:11" ht="24" customHeight="1">
      <c r="A99" s="23" t="s">
        <v>92</v>
      </c>
      <c r="B99" s="24" t="s">
        <v>621</v>
      </c>
      <c r="C99" s="24" t="s">
        <v>622</v>
      </c>
      <c r="D99" s="24" t="s">
        <v>623</v>
      </c>
      <c r="E99" s="24"/>
      <c r="F99" s="24" t="s">
        <v>392</v>
      </c>
      <c r="G99" s="24"/>
      <c r="H99" s="24" t="s">
        <v>146</v>
      </c>
      <c r="I99" s="24" t="s">
        <v>624</v>
      </c>
      <c r="J99" s="25" t="s">
        <v>394</v>
      </c>
      <c r="K99" s="25"/>
    </row>
    <row r="100" spans="1:11" ht="24" customHeight="1">
      <c r="A100" s="23" t="s">
        <v>92</v>
      </c>
      <c r="B100" s="24" t="s">
        <v>625</v>
      </c>
      <c r="C100" s="24" t="s">
        <v>626</v>
      </c>
      <c r="D100" s="24" t="s">
        <v>627</v>
      </c>
      <c r="E100" s="24" t="s">
        <v>628</v>
      </c>
      <c r="F100" s="24" t="s">
        <v>629</v>
      </c>
      <c r="G100" s="24"/>
      <c r="H100" s="24" t="s">
        <v>146</v>
      </c>
      <c r="I100" s="24" t="s">
        <v>630</v>
      </c>
      <c r="J100" s="25" t="s">
        <v>631</v>
      </c>
      <c r="K100" s="25" t="s">
        <v>632</v>
      </c>
    </row>
    <row r="101" spans="1:11" ht="24" customHeight="1">
      <c r="A101" s="23" t="s">
        <v>92</v>
      </c>
      <c r="B101" s="24" t="s">
        <v>633</v>
      </c>
      <c r="C101" s="24" t="s">
        <v>634</v>
      </c>
      <c r="D101" s="24" t="s">
        <v>635</v>
      </c>
      <c r="E101" s="24" t="s">
        <v>636</v>
      </c>
      <c r="F101" s="24" t="s">
        <v>637</v>
      </c>
      <c r="G101" s="24"/>
      <c r="H101" s="24" t="s">
        <v>146</v>
      </c>
      <c r="I101" s="24" t="s">
        <v>638</v>
      </c>
      <c r="J101" s="25" t="s">
        <v>639</v>
      </c>
      <c r="K101" s="25" t="s">
        <v>640</v>
      </c>
    </row>
    <row r="102" spans="1:11" ht="36" customHeight="1">
      <c r="A102" s="23" t="s">
        <v>92</v>
      </c>
      <c r="B102" s="24" t="s">
        <v>641</v>
      </c>
      <c r="C102" s="24" t="s">
        <v>642</v>
      </c>
      <c r="D102" s="24" t="s">
        <v>643</v>
      </c>
      <c r="E102" s="24" t="s">
        <v>644</v>
      </c>
      <c r="F102" s="24" t="s">
        <v>645</v>
      </c>
      <c r="G102" s="24"/>
      <c r="H102" s="24" t="s">
        <v>146</v>
      </c>
      <c r="I102" s="24" t="s">
        <v>646</v>
      </c>
      <c r="J102" s="25" t="s">
        <v>647</v>
      </c>
      <c r="K102" s="25" t="s">
        <v>648</v>
      </c>
    </row>
    <row r="103" spans="1:11" ht="24" customHeight="1">
      <c r="A103" s="23" t="s">
        <v>92</v>
      </c>
      <c r="B103" s="24" t="s">
        <v>649</v>
      </c>
      <c r="C103" s="24" t="s">
        <v>650</v>
      </c>
      <c r="D103" s="24" t="s">
        <v>651</v>
      </c>
      <c r="E103" s="24" t="s">
        <v>652</v>
      </c>
      <c r="F103" s="24" t="s">
        <v>653</v>
      </c>
      <c r="G103" s="24"/>
      <c r="H103" s="24" t="s">
        <v>146</v>
      </c>
      <c r="I103" s="24" t="s">
        <v>654</v>
      </c>
      <c r="J103" s="25" t="s">
        <v>655</v>
      </c>
      <c r="K103" s="25" t="s">
        <v>656</v>
      </c>
    </row>
    <row r="104" spans="1:11" ht="24" customHeight="1">
      <c r="A104" s="23" t="s">
        <v>92</v>
      </c>
      <c r="B104" s="24" t="s">
        <v>657</v>
      </c>
      <c r="C104" s="24" t="s">
        <v>658</v>
      </c>
      <c r="D104" s="24" t="s">
        <v>659</v>
      </c>
      <c r="E104" s="24" t="s">
        <v>660</v>
      </c>
      <c r="F104" s="24" t="s">
        <v>661</v>
      </c>
      <c r="G104" s="24"/>
      <c r="H104" s="24" t="s">
        <v>146</v>
      </c>
      <c r="I104" s="24" t="s">
        <v>662</v>
      </c>
      <c r="J104" s="25" t="s">
        <v>663</v>
      </c>
      <c r="K104" s="25" t="s">
        <v>664</v>
      </c>
    </row>
    <row r="105" spans="1:11" ht="24" customHeight="1">
      <c r="A105" s="23" t="s">
        <v>98</v>
      </c>
      <c r="B105" s="24" t="s">
        <v>141</v>
      </c>
      <c r="C105" s="24" t="s">
        <v>142</v>
      </c>
      <c r="D105" s="24" t="s">
        <v>143</v>
      </c>
      <c r="E105" s="24" t="s">
        <v>144</v>
      </c>
      <c r="F105" s="24" t="s">
        <v>145</v>
      </c>
      <c r="G105" s="24"/>
      <c r="H105" s="24" t="s">
        <v>146</v>
      </c>
      <c r="I105" s="24">
        <v>70</v>
      </c>
      <c r="J105" s="25" t="s">
        <v>147</v>
      </c>
      <c r="K105" s="25" t="s">
        <v>148</v>
      </c>
    </row>
    <row r="106" spans="1:11" ht="24" customHeight="1">
      <c r="A106" s="23" t="s">
        <v>98</v>
      </c>
      <c r="B106" s="24" t="s">
        <v>149</v>
      </c>
      <c r="C106" s="24" t="s">
        <v>150</v>
      </c>
      <c r="D106" s="24" t="s">
        <v>151</v>
      </c>
      <c r="E106" s="24"/>
      <c r="F106" s="24" t="s">
        <v>152</v>
      </c>
      <c r="G106" s="24"/>
      <c r="H106" s="24" t="s">
        <v>146</v>
      </c>
      <c r="I106" s="24" t="s">
        <v>153</v>
      </c>
      <c r="J106" s="25" t="s">
        <v>154</v>
      </c>
      <c r="K106" s="25"/>
    </row>
    <row r="107" spans="1:11" ht="24" customHeight="1">
      <c r="A107" s="23" t="s">
        <v>98</v>
      </c>
      <c r="B107" s="24" t="s">
        <v>155</v>
      </c>
      <c r="C107" s="24" t="s">
        <v>156</v>
      </c>
      <c r="D107" s="24" t="s">
        <v>157</v>
      </c>
      <c r="E107" s="24" t="s">
        <v>158</v>
      </c>
      <c r="F107" s="24" t="s">
        <v>159</v>
      </c>
      <c r="G107" s="24"/>
      <c r="H107" s="24" t="s">
        <v>146</v>
      </c>
      <c r="I107" s="24">
        <v>1</v>
      </c>
      <c r="J107" s="25" t="s">
        <v>160</v>
      </c>
      <c r="K107" s="25" t="s">
        <v>161</v>
      </c>
    </row>
    <row r="108" spans="1:11" ht="24" customHeight="1">
      <c r="A108" s="23" t="s">
        <v>98</v>
      </c>
      <c r="B108" s="24" t="s">
        <v>162</v>
      </c>
      <c r="C108" s="24" t="s">
        <v>163</v>
      </c>
      <c r="D108" s="24" t="s">
        <v>164</v>
      </c>
      <c r="E108" s="24"/>
      <c r="F108" s="24" t="s">
        <v>152</v>
      </c>
      <c r="G108" s="24"/>
      <c r="H108" s="24" t="s">
        <v>146</v>
      </c>
      <c r="I108" s="24" t="s">
        <v>665</v>
      </c>
      <c r="J108" s="25" t="s">
        <v>154</v>
      </c>
      <c r="K108" s="25"/>
    </row>
    <row r="109" spans="1:11" ht="60">
      <c r="A109" s="23" t="s">
        <v>98</v>
      </c>
      <c r="B109" s="24" t="s">
        <v>166</v>
      </c>
      <c r="C109" s="24" t="s">
        <v>167</v>
      </c>
      <c r="D109" s="24" t="s">
        <v>168</v>
      </c>
      <c r="E109" s="24" t="s">
        <v>169</v>
      </c>
      <c r="F109" s="24" t="s">
        <v>170</v>
      </c>
      <c r="G109" s="24"/>
      <c r="H109" s="24" t="s">
        <v>146</v>
      </c>
      <c r="I109" s="24" t="s">
        <v>666</v>
      </c>
      <c r="J109" s="25" t="s">
        <v>172</v>
      </c>
      <c r="K109" s="25" t="s">
        <v>173</v>
      </c>
    </row>
    <row r="110" spans="1:11" ht="24" customHeight="1">
      <c r="A110" s="23" t="s">
        <v>98</v>
      </c>
      <c r="B110" s="24" t="s">
        <v>174</v>
      </c>
      <c r="C110" s="24" t="s">
        <v>175</v>
      </c>
      <c r="D110" s="24" t="s">
        <v>176</v>
      </c>
      <c r="E110" s="24"/>
      <c r="F110" s="24" t="s">
        <v>152</v>
      </c>
      <c r="G110" s="24"/>
      <c r="H110" s="24" t="s">
        <v>146</v>
      </c>
      <c r="I110" s="24" t="s">
        <v>667</v>
      </c>
      <c r="J110" s="25" t="s">
        <v>154</v>
      </c>
      <c r="K110" s="25"/>
    </row>
    <row r="111" spans="1:11" ht="48">
      <c r="A111" s="23" t="s">
        <v>98</v>
      </c>
      <c r="B111" s="24" t="s">
        <v>178</v>
      </c>
      <c r="C111" s="24" t="s">
        <v>179</v>
      </c>
      <c r="D111" s="24" t="s">
        <v>180</v>
      </c>
      <c r="E111" s="24" t="s">
        <v>181</v>
      </c>
      <c r="F111" s="24" t="s">
        <v>182</v>
      </c>
      <c r="G111" s="24"/>
      <c r="H111" s="24" t="s">
        <v>146</v>
      </c>
      <c r="I111" s="24" t="s">
        <v>668</v>
      </c>
      <c r="J111" s="25" t="s">
        <v>184</v>
      </c>
      <c r="K111" s="25" t="s">
        <v>185</v>
      </c>
    </row>
    <row r="112" spans="1:11" ht="24" customHeight="1">
      <c r="A112" s="23" t="s">
        <v>98</v>
      </c>
      <c r="B112" s="24" t="s">
        <v>186</v>
      </c>
      <c r="C112" s="24" t="s">
        <v>187</v>
      </c>
      <c r="D112" s="24" t="s">
        <v>188</v>
      </c>
      <c r="E112" s="24"/>
      <c r="F112" s="24" t="s">
        <v>189</v>
      </c>
      <c r="G112" s="24"/>
      <c r="H112" s="24" t="s">
        <v>146</v>
      </c>
      <c r="I112" s="24" t="s">
        <v>669</v>
      </c>
      <c r="J112" s="25" t="s">
        <v>191</v>
      </c>
      <c r="K112" s="25"/>
    </row>
    <row r="113" spans="1:11" ht="48">
      <c r="A113" s="23" t="s">
        <v>98</v>
      </c>
      <c r="B113" s="24" t="s">
        <v>192</v>
      </c>
      <c r="C113" s="24" t="s">
        <v>193</v>
      </c>
      <c r="D113" s="24" t="s">
        <v>194</v>
      </c>
      <c r="E113" s="24" t="s">
        <v>195</v>
      </c>
      <c r="F113" s="24" t="s">
        <v>182</v>
      </c>
      <c r="G113" s="24"/>
      <c r="H113" s="24" t="s">
        <v>146</v>
      </c>
      <c r="I113" s="24" t="s">
        <v>668</v>
      </c>
      <c r="J113" s="25" t="s">
        <v>184</v>
      </c>
      <c r="K113" s="25" t="s">
        <v>196</v>
      </c>
    </row>
    <row r="114" spans="1:11" ht="24" customHeight="1">
      <c r="A114" s="23" t="s">
        <v>98</v>
      </c>
      <c r="B114" s="24" t="s">
        <v>197</v>
      </c>
      <c r="C114" s="24" t="s">
        <v>198</v>
      </c>
      <c r="D114" s="24" t="s">
        <v>199</v>
      </c>
      <c r="E114" s="24"/>
      <c r="F114" s="24" t="s">
        <v>200</v>
      </c>
      <c r="G114" s="24"/>
      <c r="H114" s="24" t="s">
        <v>146</v>
      </c>
      <c r="I114" s="24" t="s">
        <v>669</v>
      </c>
      <c r="J114" s="25" t="s">
        <v>201</v>
      </c>
      <c r="K114" s="25"/>
    </row>
    <row r="115" spans="1:11" ht="24" customHeight="1">
      <c r="A115" s="23" t="s">
        <v>98</v>
      </c>
      <c r="B115" s="24" t="s">
        <v>202</v>
      </c>
      <c r="C115" s="24" t="s">
        <v>203</v>
      </c>
      <c r="D115" s="24" t="s">
        <v>204</v>
      </c>
      <c r="E115" s="24" t="s">
        <v>205</v>
      </c>
      <c r="F115" s="24" t="s">
        <v>182</v>
      </c>
      <c r="G115" s="24"/>
      <c r="H115" s="24" t="s">
        <v>146</v>
      </c>
      <c r="I115" s="24" t="s">
        <v>23</v>
      </c>
      <c r="J115" s="25" t="s">
        <v>184</v>
      </c>
      <c r="K115" s="25" t="s">
        <v>207</v>
      </c>
    </row>
    <row r="116" spans="1:11" ht="24" customHeight="1">
      <c r="A116" s="23" t="s">
        <v>98</v>
      </c>
      <c r="B116" s="24" t="s">
        <v>208</v>
      </c>
      <c r="C116" s="24" t="s">
        <v>209</v>
      </c>
      <c r="D116" s="24" t="s">
        <v>210</v>
      </c>
      <c r="E116" s="24"/>
      <c r="F116" s="24" t="s">
        <v>211</v>
      </c>
      <c r="G116" s="24"/>
      <c r="H116" s="24" t="s">
        <v>146</v>
      </c>
      <c r="I116" s="24" t="s">
        <v>670</v>
      </c>
      <c r="J116" s="25" t="s">
        <v>213</v>
      </c>
      <c r="K116" s="25"/>
    </row>
    <row r="117" spans="1:11" ht="24" customHeight="1">
      <c r="A117" s="23" t="s">
        <v>98</v>
      </c>
      <c r="B117" s="24" t="s">
        <v>214</v>
      </c>
      <c r="C117" s="24" t="s">
        <v>215</v>
      </c>
      <c r="D117" s="24" t="s">
        <v>216</v>
      </c>
      <c r="E117" s="24" t="s">
        <v>217</v>
      </c>
      <c r="F117" s="24" t="s">
        <v>218</v>
      </c>
      <c r="G117" s="24"/>
      <c r="H117" s="24" t="s">
        <v>146</v>
      </c>
      <c r="I117" s="24" t="s">
        <v>23</v>
      </c>
      <c r="J117" s="25" t="s">
        <v>220</v>
      </c>
      <c r="K117" s="25" t="s">
        <v>221</v>
      </c>
    </row>
    <row r="118" spans="1:11" ht="24" customHeight="1">
      <c r="A118" s="23" t="s">
        <v>98</v>
      </c>
      <c r="B118" s="24" t="s">
        <v>222</v>
      </c>
      <c r="C118" s="24" t="s">
        <v>223</v>
      </c>
      <c r="D118" s="24" t="s">
        <v>224</v>
      </c>
      <c r="E118" s="24"/>
      <c r="F118" s="24" t="s">
        <v>152</v>
      </c>
      <c r="G118" s="24"/>
      <c r="H118" s="24" t="s">
        <v>146</v>
      </c>
      <c r="I118" s="24" t="s">
        <v>23</v>
      </c>
      <c r="J118" s="25" t="s">
        <v>154</v>
      </c>
      <c r="K118" s="25"/>
    </row>
    <row r="119" spans="1:11" ht="24" customHeight="1">
      <c r="A119" s="23" t="s">
        <v>98</v>
      </c>
      <c r="B119" s="24" t="s">
        <v>226</v>
      </c>
      <c r="C119" s="24" t="s">
        <v>227</v>
      </c>
      <c r="D119" s="24" t="s">
        <v>228</v>
      </c>
      <c r="E119" s="24" t="s">
        <v>229</v>
      </c>
      <c r="F119" s="24" t="s">
        <v>230</v>
      </c>
      <c r="G119" s="24"/>
      <c r="H119" s="24" t="s">
        <v>146</v>
      </c>
      <c r="I119" s="24" t="s">
        <v>23</v>
      </c>
      <c r="J119" s="25" t="s">
        <v>232</v>
      </c>
      <c r="K119" s="25" t="s">
        <v>233</v>
      </c>
    </row>
    <row r="120" spans="1:11" ht="24" customHeight="1">
      <c r="A120" s="23" t="s">
        <v>98</v>
      </c>
      <c r="B120" s="24" t="s">
        <v>234</v>
      </c>
      <c r="C120" s="24" t="s">
        <v>235</v>
      </c>
      <c r="D120" s="24" t="s">
        <v>236</v>
      </c>
      <c r="E120" s="24"/>
      <c r="F120" s="24" t="s">
        <v>152</v>
      </c>
      <c r="G120" s="24"/>
      <c r="H120" s="24" t="s">
        <v>146</v>
      </c>
      <c r="I120" s="24" t="s">
        <v>23</v>
      </c>
      <c r="J120" s="25" t="s">
        <v>154</v>
      </c>
      <c r="K120" s="25"/>
    </row>
    <row r="121" spans="1:11" ht="36">
      <c r="A121" s="23" t="s">
        <v>98</v>
      </c>
      <c r="B121" s="24" t="s">
        <v>238</v>
      </c>
      <c r="C121" s="24" t="s">
        <v>239</v>
      </c>
      <c r="D121" s="24" t="s">
        <v>240</v>
      </c>
      <c r="E121" s="24" t="s">
        <v>241</v>
      </c>
      <c r="F121" s="24" t="s">
        <v>218</v>
      </c>
      <c r="G121" s="24"/>
      <c r="H121" s="24" t="s">
        <v>146</v>
      </c>
      <c r="I121" s="24" t="s">
        <v>23</v>
      </c>
      <c r="J121" s="25" t="s">
        <v>220</v>
      </c>
      <c r="K121" s="25" t="s">
        <v>243</v>
      </c>
    </row>
    <row r="122" spans="1:11" ht="24" customHeight="1">
      <c r="A122" s="23" t="s">
        <v>98</v>
      </c>
      <c r="B122" s="24" t="s">
        <v>244</v>
      </c>
      <c r="C122" s="24" t="s">
        <v>245</v>
      </c>
      <c r="D122" s="24" t="s">
        <v>246</v>
      </c>
      <c r="E122" s="24"/>
      <c r="F122" s="24" t="s">
        <v>247</v>
      </c>
      <c r="G122" s="24"/>
      <c r="H122" s="24" t="s">
        <v>146</v>
      </c>
      <c r="I122" s="24" t="s">
        <v>670</v>
      </c>
      <c r="J122" s="25" t="s">
        <v>249</v>
      </c>
      <c r="K122" s="25"/>
    </row>
    <row r="123" spans="1:11" ht="36">
      <c r="A123" s="23" t="s">
        <v>98</v>
      </c>
      <c r="B123" s="24" t="s">
        <v>250</v>
      </c>
      <c r="C123" s="24" t="s">
        <v>251</v>
      </c>
      <c r="D123" s="24" t="s">
        <v>252</v>
      </c>
      <c r="E123" s="24" t="s">
        <v>253</v>
      </c>
      <c r="F123" s="24" t="s">
        <v>254</v>
      </c>
      <c r="G123" s="24"/>
      <c r="H123" s="24" t="s">
        <v>146</v>
      </c>
      <c r="I123" s="24" t="s">
        <v>671</v>
      </c>
      <c r="J123" s="25" t="s">
        <v>256</v>
      </c>
      <c r="K123" s="25" t="s">
        <v>257</v>
      </c>
    </row>
    <row r="124" spans="1:11" ht="24" customHeight="1">
      <c r="A124" s="23" t="s">
        <v>98</v>
      </c>
      <c r="B124" s="24" t="s">
        <v>258</v>
      </c>
      <c r="C124" s="24" t="s">
        <v>259</v>
      </c>
      <c r="D124" s="24" t="s">
        <v>260</v>
      </c>
      <c r="E124" s="24"/>
      <c r="F124" s="24" t="s">
        <v>261</v>
      </c>
      <c r="G124" s="24"/>
      <c r="H124" s="24" t="s">
        <v>146</v>
      </c>
      <c r="I124" s="24" t="s">
        <v>672</v>
      </c>
      <c r="J124" s="25" t="s">
        <v>263</v>
      </c>
      <c r="K124" s="25"/>
    </row>
    <row r="125" spans="1:11" ht="60">
      <c r="A125" s="23" t="s">
        <v>98</v>
      </c>
      <c r="B125" s="24" t="s">
        <v>264</v>
      </c>
      <c r="C125" s="24" t="s">
        <v>265</v>
      </c>
      <c r="D125" s="24" t="s">
        <v>266</v>
      </c>
      <c r="E125" s="24" t="s">
        <v>267</v>
      </c>
      <c r="F125" s="24" t="s">
        <v>268</v>
      </c>
      <c r="G125" s="24"/>
      <c r="H125" s="24" t="s">
        <v>146</v>
      </c>
      <c r="I125" s="24" t="s">
        <v>673</v>
      </c>
      <c r="J125" s="25" t="s">
        <v>270</v>
      </c>
      <c r="K125" s="25" t="s">
        <v>271</v>
      </c>
    </row>
    <row r="126" spans="1:11" ht="24" customHeight="1">
      <c r="A126" s="23" t="s">
        <v>98</v>
      </c>
      <c r="B126" s="24" t="s">
        <v>272</v>
      </c>
      <c r="C126" s="24" t="s">
        <v>273</v>
      </c>
      <c r="D126" s="24" t="s">
        <v>274</v>
      </c>
      <c r="E126" s="24"/>
      <c r="F126" s="24" t="s">
        <v>152</v>
      </c>
      <c r="G126" s="24"/>
      <c r="H126" s="24" t="s">
        <v>146</v>
      </c>
      <c r="I126" s="24" t="s">
        <v>674</v>
      </c>
      <c r="J126" s="25" t="s">
        <v>154</v>
      </c>
      <c r="K126" s="25"/>
    </row>
    <row r="127" spans="1:11" ht="24" customHeight="1">
      <c r="A127" s="23" t="s">
        <v>98</v>
      </c>
      <c r="B127" s="24" t="s">
        <v>276</v>
      </c>
      <c r="C127" s="24" t="s">
        <v>277</v>
      </c>
      <c r="D127" s="24" t="s">
        <v>278</v>
      </c>
      <c r="E127" s="24" t="s">
        <v>279</v>
      </c>
      <c r="F127" s="24" t="s">
        <v>145</v>
      </c>
      <c r="G127" s="24"/>
      <c r="H127" s="24" t="s">
        <v>146</v>
      </c>
      <c r="I127" s="24">
        <v>70</v>
      </c>
      <c r="J127" s="25" t="s">
        <v>280</v>
      </c>
      <c r="K127" s="25" t="s">
        <v>281</v>
      </c>
    </row>
    <row r="128" spans="1:11" ht="24" customHeight="1">
      <c r="A128" s="23" t="s">
        <v>98</v>
      </c>
      <c r="B128" s="24" t="s">
        <v>282</v>
      </c>
      <c r="C128" s="24" t="s">
        <v>283</v>
      </c>
      <c r="D128" s="24" t="s">
        <v>284</v>
      </c>
      <c r="E128" s="24"/>
      <c r="F128" s="24" t="s">
        <v>285</v>
      </c>
      <c r="G128" s="24"/>
      <c r="H128" s="24" t="s">
        <v>146</v>
      </c>
      <c r="I128" s="24" t="s">
        <v>153</v>
      </c>
      <c r="J128" s="25" t="s">
        <v>287</v>
      </c>
      <c r="K128" s="25"/>
    </row>
    <row r="129" spans="1:11" ht="24" customHeight="1">
      <c r="A129" s="23" t="s">
        <v>98</v>
      </c>
      <c r="B129" s="24" t="s">
        <v>288</v>
      </c>
      <c r="C129" s="24" t="s">
        <v>289</v>
      </c>
      <c r="D129" s="24" t="s">
        <v>290</v>
      </c>
      <c r="E129" s="24" t="s">
        <v>291</v>
      </c>
      <c r="F129" s="24" t="s">
        <v>292</v>
      </c>
      <c r="G129" s="24"/>
      <c r="H129" s="24" t="s">
        <v>146</v>
      </c>
      <c r="I129" s="24">
        <v>122.02500000000001</v>
      </c>
      <c r="J129" s="25" t="s">
        <v>293</v>
      </c>
      <c r="K129" s="25" t="s">
        <v>294</v>
      </c>
    </row>
    <row r="130" spans="1:11" ht="24" customHeight="1">
      <c r="A130" s="23" t="s">
        <v>98</v>
      </c>
      <c r="B130" s="24" t="s">
        <v>295</v>
      </c>
      <c r="C130" s="24" t="s">
        <v>296</v>
      </c>
      <c r="D130" s="24" t="s">
        <v>297</v>
      </c>
      <c r="E130" s="24"/>
      <c r="F130" s="24" t="s">
        <v>189</v>
      </c>
      <c r="G130" s="24"/>
      <c r="H130" s="24" t="s">
        <v>146</v>
      </c>
      <c r="I130" s="24" t="s">
        <v>675</v>
      </c>
      <c r="J130" s="25" t="s">
        <v>191</v>
      </c>
      <c r="K130" s="25"/>
    </row>
    <row r="131" spans="1:11" ht="36">
      <c r="A131" s="23" t="s">
        <v>98</v>
      </c>
      <c r="B131" s="24" t="s">
        <v>299</v>
      </c>
      <c r="C131" s="24" t="s">
        <v>300</v>
      </c>
      <c r="D131" s="24" t="s">
        <v>301</v>
      </c>
      <c r="E131" s="24" t="s">
        <v>302</v>
      </c>
      <c r="F131" s="24" t="s">
        <v>218</v>
      </c>
      <c r="G131" s="24"/>
      <c r="H131" s="24" t="s">
        <v>146</v>
      </c>
      <c r="I131" s="24" t="s">
        <v>676</v>
      </c>
      <c r="J131" s="25" t="s">
        <v>220</v>
      </c>
      <c r="K131" s="25" t="s">
        <v>304</v>
      </c>
    </row>
    <row r="132" spans="1:11" ht="24" customHeight="1">
      <c r="A132" s="23" t="s">
        <v>98</v>
      </c>
      <c r="B132" s="24" t="s">
        <v>305</v>
      </c>
      <c r="C132" s="24" t="s">
        <v>306</v>
      </c>
      <c r="D132" s="24" t="s">
        <v>307</v>
      </c>
      <c r="E132" s="24"/>
      <c r="F132" s="24" t="s">
        <v>308</v>
      </c>
      <c r="G132" s="24"/>
      <c r="H132" s="24" t="s">
        <v>146</v>
      </c>
      <c r="I132" s="24" t="s">
        <v>677</v>
      </c>
      <c r="J132" s="25" t="s">
        <v>310</v>
      </c>
      <c r="K132" s="25"/>
    </row>
    <row r="133" spans="1:11" ht="24">
      <c r="A133" s="23" t="s">
        <v>98</v>
      </c>
      <c r="B133" s="24" t="s">
        <v>678</v>
      </c>
      <c r="C133" s="24" t="s">
        <v>679</v>
      </c>
      <c r="D133" s="24" t="s">
        <v>680</v>
      </c>
      <c r="E133" s="24" t="s">
        <v>681</v>
      </c>
      <c r="F133" s="24" t="s">
        <v>254</v>
      </c>
      <c r="G133" s="24"/>
      <c r="H133" s="24" t="s">
        <v>146</v>
      </c>
      <c r="I133" s="24" t="s">
        <v>23</v>
      </c>
      <c r="J133" s="25" t="s">
        <v>256</v>
      </c>
      <c r="K133" s="25" t="s">
        <v>682</v>
      </c>
    </row>
    <row r="134" spans="1:11" ht="24" customHeight="1">
      <c r="A134" s="23" t="s">
        <v>98</v>
      </c>
      <c r="B134" s="24" t="s">
        <v>683</v>
      </c>
      <c r="C134" s="24" t="s">
        <v>684</v>
      </c>
      <c r="D134" s="24" t="s">
        <v>685</v>
      </c>
      <c r="E134" s="24"/>
      <c r="F134" s="24" t="s">
        <v>152</v>
      </c>
      <c r="G134" s="24"/>
      <c r="H134" s="24" t="s">
        <v>146</v>
      </c>
      <c r="I134" s="24" t="s">
        <v>670</v>
      </c>
      <c r="J134" s="25" t="s">
        <v>154</v>
      </c>
      <c r="K134" s="25"/>
    </row>
    <row r="135" spans="1:11" ht="24" customHeight="1">
      <c r="A135" s="23" t="s">
        <v>98</v>
      </c>
      <c r="B135" s="24" t="s">
        <v>311</v>
      </c>
      <c r="C135" s="24" t="s">
        <v>312</v>
      </c>
      <c r="D135" s="24" t="s">
        <v>313</v>
      </c>
      <c r="E135" s="24" t="s">
        <v>314</v>
      </c>
      <c r="F135" s="24" t="s">
        <v>145</v>
      </c>
      <c r="G135" s="24"/>
      <c r="H135" s="24" t="s">
        <v>146</v>
      </c>
      <c r="I135" s="24">
        <v>12</v>
      </c>
      <c r="J135" s="25" t="s">
        <v>315</v>
      </c>
      <c r="K135" s="25" t="s">
        <v>316</v>
      </c>
    </row>
    <row r="136" spans="1:11" ht="24" customHeight="1">
      <c r="A136" s="23" t="s">
        <v>98</v>
      </c>
      <c r="B136" s="24" t="s">
        <v>317</v>
      </c>
      <c r="C136" s="24" t="s">
        <v>318</v>
      </c>
      <c r="D136" s="24" t="s">
        <v>319</v>
      </c>
      <c r="E136" s="24"/>
      <c r="F136" s="24" t="s">
        <v>152</v>
      </c>
      <c r="G136" s="24"/>
      <c r="H136" s="24" t="s">
        <v>146</v>
      </c>
      <c r="I136" s="24" t="s">
        <v>686</v>
      </c>
      <c r="J136" s="25" t="s">
        <v>154</v>
      </c>
      <c r="K136" s="25"/>
    </row>
    <row r="137" spans="1:11" ht="24" customHeight="1">
      <c r="A137" s="23" t="s">
        <v>98</v>
      </c>
      <c r="B137" s="24" t="s">
        <v>321</v>
      </c>
      <c r="C137" s="24" t="s">
        <v>322</v>
      </c>
      <c r="D137" s="24" t="s">
        <v>323</v>
      </c>
      <c r="E137" s="24" t="s">
        <v>324</v>
      </c>
      <c r="F137" s="24" t="s">
        <v>285</v>
      </c>
      <c r="G137" s="24"/>
      <c r="H137" s="24" t="s">
        <v>146</v>
      </c>
      <c r="I137" s="24" t="s">
        <v>23</v>
      </c>
      <c r="J137" s="25" t="s">
        <v>287</v>
      </c>
      <c r="K137" s="25" t="s">
        <v>326</v>
      </c>
    </row>
    <row r="138" spans="1:11" ht="24" customHeight="1">
      <c r="A138" s="23" t="s">
        <v>98</v>
      </c>
      <c r="B138" s="24" t="s">
        <v>327</v>
      </c>
      <c r="C138" s="24" t="s">
        <v>328</v>
      </c>
      <c r="D138" s="24" t="s">
        <v>329</v>
      </c>
      <c r="E138" s="24"/>
      <c r="F138" s="24" t="s">
        <v>330</v>
      </c>
      <c r="G138" s="24"/>
      <c r="H138" s="24" t="s">
        <v>146</v>
      </c>
      <c r="I138" s="24" t="s">
        <v>23</v>
      </c>
      <c r="J138" s="25" t="s">
        <v>332</v>
      </c>
      <c r="K138" s="25"/>
    </row>
    <row r="139" spans="1:11" ht="24" customHeight="1">
      <c r="A139" s="23" t="s">
        <v>98</v>
      </c>
      <c r="B139" s="24" t="s">
        <v>333</v>
      </c>
      <c r="C139" s="24" t="s">
        <v>334</v>
      </c>
      <c r="D139" s="24" t="s">
        <v>335</v>
      </c>
      <c r="E139" s="24" t="s">
        <v>336</v>
      </c>
      <c r="F139" s="24" t="s">
        <v>285</v>
      </c>
      <c r="G139" s="24"/>
      <c r="H139" s="24" t="s">
        <v>146</v>
      </c>
      <c r="I139" s="24">
        <v>3529380</v>
      </c>
      <c r="J139" s="25" t="s">
        <v>287</v>
      </c>
      <c r="K139" s="25" t="s">
        <v>337</v>
      </c>
    </row>
    <row r="140" spans="1:11" ht="24" customHeight="1">
      <c r="A140" s="23" t="s">
        <v>98</v>
      </c>
      <c r="B140" s="24" t="s">
        <v>338</v>
      </c>
      <c r="C140" s="24" t="s">
        <v>339</v>
      </c>
      <c r="D140" s="24" t="s">
        <v>340</v>
      </c>
      <c r="E140" s="24"/>
      <c r="F140" s="24" t="s">
        <v>330</v>
      </c>
      <c r="G140" s="24"/>
      <c r="H140" s="24" t="s">
        <v>146</v>
      </c>
      <c r="I140" s="24" t="s">
        <v>687</v>
      </c>
      <c r="J140" s="25" t="s">
        <v>332</v>
      </c>
      <c r="K140" s="25"/>
    </row>
    <row r="141" spans="1:11" ht="24" customHeight="1">
      <c r="A141" s="23" t="s">
        <v>98</v>
      </c>
      <c r="B141" s="24" t="s">
        <v>341</v>
      </c>
      <c r="C141" s="24" t="s">
        <v>342</v>
      </c>
      <c r="D141" s="24" t="s">
        <v>343</v>
      </c>
      <c r="E141" s="24" t="s">
        <v>344</v>
      </c>
      <c r="F141" s="24" t="s">
        <v>182</v>
      </c>
      <c r="G141" s="24"/>
      <c r="H141" s="24" t="s">
        <v>146</v>
      </c>
      <c r="I141" s="24">
        <v>70</v>
      </c>
      <c r="J141" s="25" t="s">
        <v>184</v>
      </c>
      <c r="K141" s="25" t="s">
        <v>345</v>
      </c>
    </row>
    <row r="142" spans="1:11" ht="24" customHeight="1">
      <c r="A142" s="23" t="s">
        <v>98</v>
      </c>
      <c r="B142" s="24" t="s">
        <v>346</v>
      </c>
      <c r="C142" s="24" t="s">
        <v>347</v>
      </c>
      <c r="D142" s="24" t="s">
        <v>348</v>
      </c>
      <c r="E142" s="24"/>
      <c r="F142" s="24" t="s">
        <v>285</v>
      </c>
      <c r="G142" s="24"/>
      <c r="H142" s="24" t="s">
        <v>146</v>
      </c>
      <c r="I142" s="24" t="s">
        <v>153</v>
      </c>
      <c r="J142" s="25" t="s">
        <v>287</v>
      </c>
      <c r="K142" s="25"/>
    </row>
    <row r="143" spans="1:11" ht="36">
      <c r="A143" s="23" t="s">
        <v>98</v>
      </c>
      <c r="B143" s="24" t="s">
        <v>349</v>
      </c>
      <c r="C143" s="24" t="s">
        <v>350</v>
      </c>
      <c r="D143" s="24" t="s">
        <v>351</v>
      </c>
      <c r="E143" s="24" t="s">
        <v>352</v>
      </c>
      <c r="F143" s="24" t="s">
        <v>218</v>
      </c>
      <c r="G143" s="24"/>
      <c r="H143" s="24" t="s">
        <v>146</v>
      </c>
      <c r="I143" s="24" t="s">
        <v>688</v>
      </c>
      <c r="J143" s="25" t="s">
        <v>220</v>
      </c>
      <c r="K143" s="25" t="s">
        <v>354</v>
      </c>
    </row>
    <row r="144" spans="1:11" ht="24" customHeight="1">
      <c r="A144" s="23" t="s">
        <v>98</v>
      </c>
      <c r="B144" s="24" t="s">
        <v>355</v>
      </c>
      <c r="C144" s="24" t="s">
        <v>356</v>
      </c>
      <c r="D144" s="24" t="s">
        <v>357</v>
      </c>
      <c r="E144" s="24"/>
      <c r="F144" s="24" t="s">
        <v>152</v>
      </c>
      <c r="G144" s="24"/>
      <c r="H144" s="24" t="s">
        <v>146</v>
      </c>
      <c r="I144" s="24" t="s">
        <v>689</v>
      </c>
      <c r="J144" s="25" t="s">
        <v>154</v>
      </c>
      <c r="K144" s="25"/>
    </row>
    <row r="145" spans="1:11" ht="36">
      <c r="A145" s="23" t="s">
        <v>98</v>
      </c>
      <c r="B145" s="24" t="s">
        <v>358</v>
      </c>
      <c r="C145" s="24" t="s">
        <v>359</v>
      </c>
      <c r="D145" s="24" t="s">
        <v>360</v>
      </c>
      <c r="E145" s="24" t="s">
        <v>361</v>
      </c>
      <c r="F145" s="24" t="s">
        <v>218</v>
      </c>
      <c r="G145" s="24"/>
      <c r="H145" s="24" t="s">
        <v>146</v>
      </c>
      <c r="I145" s="24">
        <v>721</v>
      </c>
      <c r="J145" s="25" t="s">
        <v>220</v>
      </c>
      <c r="K145" s="25" t="s">
        <v>362</v>
      </c>
    </row>
    <row r="146" spans="1:11" ht="24" customHeight="1">
      <c r="A146" s="23" t="s">
        <v>98</v>
      </c>
      <c r="B146" s="24" t="s">
        <v>363</v>
      </c>
      <c r="C146" s="24" t="s">
        <v>364</v>
      </c>
      <c r="D146" s="24" t="s">
        <v>365</v>
      </c>
      <c r="E146" s="24"/>
      <c r="F146" s="24" t="s">
        <v>152</v>
      </c>
      <c r="G146" s="24"/>
      <c r="H146" s="24" t="s">
        <v>146</v>
      </c>
      <c r="I146" s="24" t="s">
        <v>690</v>
      </c>
      <c r="J146" s="25" t="s">
        <v>154</v>
      </c>
      <c r="K146" s="25"/>
    </row>
    <row r="147" spans="1:11" ht="36">
      <c r="A147" s="23" t="s">
        <v>98</v>
      </c>
      <c r="B147" s="24" t="s">
        <v>366</v>
      </c>
      <c r="C147" s="24" t="s">
        <v>367</v>
      </c>
      <c r="D147" s="24" t="s">
        <v>368</v>
      </c>
      <c r="E147" s="24" t="s">
        <v>369</v>
      </c>
      <c r="F147" s="24" t="s">
        <v>218</v>
      </c>
      <c r="G147" s="24"/>
      <c r="H147" s="24" t="s">
        <v>146</v>
      </c>
      <c r="I147" s="24">
        <v>610</v>
      </c>
      <c r="J147" s="25" t="s">
        <v>220</v>
      </c>
      <c r="K147" s="25" t="s">
        <v>370</v>
      </c>
    </row>
    <row r="148" spans="1:11" ht="24" customHeight="1">
      <c r="A148" s="23" t="s">
        <v>98</v>
      </c>
      <c r="B148" s="24" t="s">
        <v>371</v>
      </c>
      <c r="C148" s="24" t="s">
        <v>372</v>
      </c>
      <c r="D148" s="24" t="s">
        <v>373</v>
      </c>
      <c r="E148" s="24"/>
      <c r="F148" s="24" t="s">
        <v>152</v>
      </c>
      <c r="G148" s="24"/>
      <c r="H148" s="24" t="s">
        <v>146</v>
      </c>
      <c r="I148" s="24" t="s">
        <v>691</v>
      </c>
      <c r="J148" s="25" t="s">
        <v>154</v>
      </c>
      <c r="K148" s="25"/>
    </row>
    <row r="149" spans="1:11" ht="24" customHeight="1">
      <c r="A149" s="23" t="s">
        <v>98</v>
      </c>
      <c r="B149" s="24" t="s">
        <v>375</v>
      </c>
      <c r="C149" s="24" t="s">
        <v>376</v>
      </c>
      <c r="D149" s="24" t="s">
        <v>377</v>
      </c>
      <c r="E149" s="24" t="s">
        <v>378</v>
      </c>
      <c r="F149" s="24" t="s">
        <v>254</v>
      </c>
      <c r="G149" s="24"/>
      <c r="H149" s="24" t="s">
        <v>146</v>
      </c>
      <c r="I149" s="24" t="s">
        <v>692</v>
      </c>
      <c r="J149" s="25" t="s">
        <v>256</v>
      </c>
      <c r="K149" s="25" t="s">
        <v>380</v>
      </c>
    </row>
    <row r="150" spans="1:11" ht="24" customHeight="1">
      <c r="A150" s="23" t="s">
        <v>98</v>
      </c>
      <c r="B150" s="24" t="s">
        <v>381</v>
      </c>
      <c r="C150" s="24" t="s">
        <v>382</v>
      </c>
      <c r="D150" s="24" t="s">
        <v>383</v>
      </c>
      <c r="E150" s="24"/>
      <c r="F150" s="24" t="s">
        <v>152</v>
      </c>
      <c r="G150" s="24"/>
      <c r="H150" s="24" t="s">
        <v>146</v>
      </c>
      <c r="I150" s="24" t="s">
        <v>693</v>
      </c>
      <c r="J150" s="25" t="s">
        <v>154</v>
      </c>
      <c r="K150" s="25"/>
    </row>
    <row r="151" spans="1:11" ht="48">
      <c r="A151" s="23" t="s">
        <v>98</v>
      </c>
      <c r="B151" s="24" t="s">
        <v>384</v>
      </c>
      <c r="C151" s="24" t="s">
        <v>385</v>
      </c>
      <c r="D151" s="24" t="s">
        <v>386</v>
      </c>
      <c r="E151" s="24" t="s">
        <v>387</v>
      </c>
      <c r="F151" s="24" t="s">
        <v>285</v>
      </c>
      <c r="G151" s="24"/>
      <c r="H151" s="24" t="s">
        <v>146</v>
      </c>
      <c r="I151" s="24">
        <v>2316335</v>
      </c>
      <c r="J151" s="25" t="s">
        <v>287</v>
      </c>
      <c r="K151" s="25" t="s">
        <v>388</v>
      </c>
    </row>
    <row r="152" spans="1:11" ht="24" customHeight="1">
      <c r="A152" s="23" t="s">
        <v>98</v>
      </c>
      <c r="B152" s="24" t="s">
        <v>389</v>
      </c>
      <c r="C152" s="24" t="s">
        <v>390</v>
      </c>
      <c r="D152" s="24" t="s">
        <v>391</v>
      </c>
      <c r="E152" s="24"/>
      <c r="F152" s="24" t="s">
        <v>392</v>
      </c>
      <c r="G152" s="24"/>
      <c r="H152" s="24" t="s">
        <v>146</v>
      </c>
      <c r="I152" s="24" t="s">
        <v>694</v>
      </c>
      <c r="J152" s="25" t="s">
        <v>394</v>
      </c>
      <c r="K152" s="25"/>
    </row>
    <row r="153" spans="1:11" ht="24" customHeight="1">
      <c r="A153" s="23" t="s">
        <v>98</v>
      </c>
      <c r="B153" s="24" t="s">
        <v>395</v>
      </c>
      <c r="C153" s="24" t="s">
        <v>396</v>
      </c>
      <c r="D153" s="24" t="s">
        <v>395</v>
      </c>
      <c r="E153" s="24" t="s">
        <v>397</v>
      </c>
      <c r="F153" s="24" t="s">
        <v>398</v>
      </c>
      <c r="G153" s="24"/>
      <c r="H153" s="24" t="s">
        <v>146</v>
      </c>
      <c r="I153" s="24" t="s">
        <v>695</v>
      </c>
      <c r="J153" s="25" t="s">
        <v>400</v>
      </c>
      <c r="K153" s="25" t="s">
        <v>401</v>
      </c>
    </row>
    <row r="154" spans="1:11" ht="24" customHeight="1">
      <c r="A154" s="23" t="s">
        <v>98</v>
      </c>
      <c r="B154" s="24" t="s">
        <v>402</v>
      </c>
      <c r="C154" s="24" t="s">
        <v>403</v>
      </c>
      <c r="D154" s="24" t="s">
        <v>404</v>
      </c>
      <c r="E154" s="24" t="s">
        <v>405</v>
      </c>
      <c r="F154" s="24" t="s">
        <v>230</v>
      </c>
      <c r="G154" s="24"/>
      <c r="H154" s="24" t="s">
        <v>146</v>
      </c>
      <c r="I154" s="24">
        <v>70800</v>
      </c>
      <c r="J154" s="25" t="s">
        <v>232</v>
      </c>
      <c r="K154" s="25" t="s">
        <v>406</v>
      </c>
    </row>
    <row r="155" spans="1:11" ht="24" customHeight="1">
      <c r="A155" s="23" t="s">
        <v>98</v>
      </c>
      <c r="B155" s="24" t="s">
        <v>407</v>
      </c>
      <c r="C155" s="24" t="s">
        <v>408</v>
      </c>
      <c r="D155" s="24" t="s">
        <v>409</v>
      </c>
      <c r="E155" s="24"/>
      <c r="F155" s="24" t="s">
        <v>152</v>
      </c>
      <c r="G155" s="24"/>
      <c r="H155" s="24" t="s">
        <v>146</v>
      </c>
      <c r="I155" s="24" t="s">
        <v>696</v>
      </c>
      <c r="J155" s="25" t="s">
        <v>154</v>
      </c>
      <c r="K155" s="25"/>
    </row>
    <row r="156" spans="1:11" ht="48">
      <c r="A156" s="23" t="s">
        <v>98</v>
      </c>
      <c r="B156" s="24" t="s">
        <v>411</v>
      </c>
      <c r="C156" s="24" t="s">
        <v>412</v>
      </c>
      <c r="D156" s="24" t="s">
        <v>411</v>
      </c>
      <c r="E156" s="24" t="s">
        <v>413</v>
      </c>
      <c r="F156" s="24" t="s">
        <v>254</v>
      </c>
      <c r="G156" s="24"/>
      <c r="H156" s="24" t="s">
        <v>146</v>
      </c>
      <c r="I156" s="24" t="s">
        <v>697</v>
      </c>
      <c r="J156" s="25" t="s">
        <v>256</v>
      </c>
      <c r="K156" s="25" t="s">
        <v>415</v>
      </c>
    </row>
    <row r="157" spans="1:11" ht="24" customHeight="1">
      <c r="A157" s="23" t="s">
        <v>98</v>
      </c>
      <c r="B157" s="24" t="s">
        <v>416</v>
      </c>
      <c r="C157" s="24" t="s">
        <v>417</v>
      </c>
      <c r="D157" s="24" t="s">
        <v>418</v>
      </c>
      <c r="E157" s="24"/>
      <c r="F157" s="24" t="s">
        <v>152</v>
      </c>
      <c r="G157" s="24"/>
      <c r="H157" s="24" t="s">
        <v>146</v>
      </c>
      <c r="I157" s="24" t="s">
        <v>698</v>
      </c>
      <c r="J157" s="25" t="s">
        <v>154</v>
      </c>
      <c r="K157" s="25"/>
    </row>
    <row r="158" spans="1:11" ht="24" customHeight="1">
      <c r="A158" s="23" t="s">
        <v>98</v>
      </c>
      <c r="B158" s="24" t="s">
        <v>420</v>
      </c>
      <c r="C158" s="24" t="s">
        <v>421</v>
      </c>
      <c r="D158" s="24" t="s">
        <v>420</v>
      </c>
      <c r="E158" s="24" t="s">
        <v>422</v>
      </c>
      <c r="F158" s="24" t="s">
        <v>398</v>
      </c>
      <c r="G158" s="24"/>
      <c r="H158" s="24" t="s">
        <v>146</v>
      </c>
      <c r="I158" s="24" t="s">
        <v>699</v>
      </c>
      <c r="J158" s="25" t="s">
        <v>400</v>
      </c>
      <c r="K158" s="25" t="s">
        <v>424</v>
      </c>
    </row>
    <row r="159" spans="1:11" ht="48">
      <c r="A159" s="23" t="s">
        <v>98</v>
      </c>
      <c r="B159" s="24" t="s">
        <v>425</v>
      </c>
      <c r="C159" s="24" t="s">
        <v>426</v>
      </c>
      <c r="D159" s="24" t="s">
        <v>427</v>
      </c>
      <c r="E159" s="24" t="s">
        <v>428</v>
      </c>
      <c r="F159" s="24" t="s">
        <v>182</v>
      </c>
      <c r="G159" s="24"/>
      <c r="H159" s="24" t="s">
        <v>146</v>
      </c>
      <c r="I159" s="24">
        <v>76</v>
      </c>
      <c r="J159" s="25" t="s">
        <v>184</v>
      </c>
      <c r="K159" s="25" t="s">
        <v>429</v>
      </c>
    </row>
    <row r="160" spans="1:11" ht="24" customHeight="1">
      <c r="A160" s="23" t="s">
        <v>98</v>
      </c>
      <c r="B160" s="24" t="s">
        <v>430</v>
      </c>
      <c r="C160" s="24" t="s">
        <v>431</v>
      </c>
      <c r="D160" s="24" t="s">
        <v>432</v>
      </c>
      <c r="E160" s="24"/>
      <c r="F160" s="24" t="s">
        <v>200</v>
      </c>
      <c r="G160" s="24"/>
      <c r="H160" s="24" t="s">
        <v>146</v>
      </c>
      <c r="I160" s="24" t="s">
        <v>700</v>
      </c>
      <c r="J160" s="25" t="s">
        <v>201</v>
      </c>
      <c r="K160" s="25"/>
    </row>
    <row r="161" spans="1:11" ht="24">
      <c r="A161" s="23" t="s">
        <v>98</v>
      </c>
      <c r="B161" s="24" t="s">
        <v>433</v>
      </c>
      <c r="C161" s="24" t="s">
        <v>434</v>
      </c>
      <c r="D161" s="24" t="s">
        <v>435</v>
      </c>
      <c r="E161" s="24" t="s">
        <v>436</v>
      </c>
      <c r="F161" s="24" t="s">
        <v>182</v>
      </c>
      <c r="G161" s="24"/>
      <c r="H161" s="24" t="s">
        <v>146</v>
      </c>
      <c r="I161" s="24">
        <v>61</v>
      </c>
      <c r="J161" s="25" t="s">
        <v>184</v>
      </c>
      <c r="K161" s="25" t="s">
        <v>437</v>
      </c>
    </row>
    <row r="162" spans="1:11" ht="24" customHeight="1">
      <c r="A162" s="23" t="s">
        <v>98</v>
      </c>
      <c r="B162" s="24" t="s">
        <v>438</v>
      </c>
      <c r="C162" s="24" t="s">
        <v>439</v>
      </c>
      <c r="D162" s="24" t="s">
        <v>440</v>
      </c>
      <c r="E162" s="24"/>
      <c r="F162" s="24" t="s">
        <v>152</v>
      </c>
      <c r="G162" s="24"/>
      <c r="H162" s="24" t="s">
        <v>146</v>
      </c>
      <c r="I162" s="24" t="s">
        <v>700</v>
      </c>
      <c r="J162" s="25" t="s">
        <v>154</v>
      </c>
      <c r="K162" s="25"/>
    </row>
    <row r="163" spans="1:11" ht="24">
      <c r="A163" s="23" t="s">
        <v>98</v>
      </c>
      <c r="B163" s="24" t="s">
        <v>442</v>
      </c>
      <c r="C163" s="24" t="s">
        <v>443</v>
      </c>
      <c r="D163" s="24" t="s">
        <v>444</v>
      </c>
      <c r="E163" s="24" t="s">
        <v>445</v>
      </c>
      <c r="F163" s="24" t="s">
        <v>218</v>
      </c>
      <c r="G163" s="24"/>
      <c r="H163" s="24" t="s">
        <v>146</v>
      </c>
      <c r="I163" s="24" t="s">
        <v>701</v>
      </c>
      <c r="J163" s="25" t="s">
        <v>220</v>
      </c>
      <c r="K163" s="25" t="s">
        <v>447</v>
      </c>
    </row>
    <row r="164" spans="1:11" ht="24" customHeight="1">
      <c r="A164" s="23" t="s">
        <v>98</v>
      </c>
      <c r="B164" s="24" t="s">
        <v>448</v>
      </c>
      <c r="C164" s="24" t="s">
        <v>449</v>
      </c>
      <c r="D164" s="24" t="s">
        <v>450</v>
      </c>
      <c r="E164" s="24"/>
      <c r="F164" s="24" t="s">
        <v>152</v>
      </c>
      <c r="G164" s="24"/>
      <c r="H164" s="24" t="s">
        <v>146</v>
      </c>
      <c r="I164" s="24" t="s">
        <v>702</v>
      </c>
      <c r="J164" s="25" t="s">
        <v>154</v>
      </c>
      <c r="K164" s="25"/>
    </row>
    <row r="165" spans="1:11" ht="24">
      <c r="A165" s="23" t="s">
        <v>98</v>
      </c>
      <c r="B165" s="24" t="s">
        <v>452</v>
      </c>
      <c r="C165" s="24" t="s">
        <v>453</v>
      </c>
      <c r="D165" s="24" t="s">
        <v>454</v>
      </c>
      <c r="E165" s="24" t="s">
        <v>455</v>
      </c>
      <c r="F165" s="24" t="s">
        <v>218</v>
      </c>
      <c r="G165" s="24"/>
      <c r="H165" s="24" t="s">
        <v>146</v>
      </c>
      <c r="I165" s="24" t="s">
        <v>703</v>
      </c>
      <c r="J165" s="25" t="s">
        <v>220</v>
      </c>
      <c r="K165" s="25" t="s">
        <v>457</v>
      </c>
    </row>
    <row r="166" spans="1:11" ht="24" customHeight="1">
      <c r="A166" s="23" t="s">
        <v>98</v>
      </c>
      <c r="B166" s="24" t="s">
        <v>458</v>
      </c>
      <c r="C166" s="24" t="s">
        <v>459</v>
      </c>
      <c r="D166" s="24" t="s">
        <v>460</v>
      </c>
      <c r="E166" s="24"/>
      <c r="F166" s="24" t="s">
        <v>152</v>
      </c>
      <c r="G166" s="24"/>
      <c r="H166" s="24" t="s">
        <v>146</v>
      </c>
      <c r="I166" s="24" t="s">
        <v>704</v>
      </c>
      <c r="J166" s="25" t="s">
        <v>154</v>
      </c>
      <c r="K166" s="25"/>
    </row>
    <row r="167" spans="1:11" ht="24">
      <c r="A167" s="23" t="s">
        <v>98</v>
      </c>
      <c r="B167" s="24" t="s">
        <v>462</v>
      </c>
      <c r="C167" s="24" t="s">
        <v>463</v>
      </c>
      <c r="D167" s="24" t="s">
        <v>464</v>
      </c>
      <c r="E167" s="24" t="s">
        <v>465</v>
      </c>
      <c r="F167" s="24" t="s">
        <v>170</v>
      </c>
      <c r="G167" s="24"/>
      <c r="H167" s="24" t="s">
        <v>146</v>
      </c>
      <c r="I167" s="24" t="s">
        <v>23</v>
      </c>
      <c r="J167" s="25" t="s">
        <v>172</v>
      </c>
      <c r="K167" s="25" t="s">
        <v>466</v>
      </c>
    </row>
    <row r="168" spans="1:11" ht="24" customHeight="1">
      <c r="A168" s="23" t="s">
        <v>98</v>
      </c>
      <c r="B168" s="24" t="s">
        <v>467</v>
      </c>
      <c r="C168" s="24" t="s">
        <v>468</v>
      </c>
      <c r="D168" s="24" t="s">
        <v>469</v>
      </c>
      <c r="E168" s="24"/>
      <c r="F168" s="24" t="s">
        <v>152</v>
      </c>
      <c r="G168" s="24"/>
      <c r="H168" s="24" t="s">
        <v>146</v>
      </c>
      <c r="I168" s="24" t="s">
        <v>705</v>
      </c>
      <c r="J168" s="25" t="s">
        <v>154</v>
      </c>
      <c r="K168" s="25"/>
    </row>
    <row r="169" spans="1:11" ht="42.75" customHeight="1">
      <c r="A169" s="23" t="s">
        <v>98</v>
      </c>
      <c r="B169" s="24" t="s">
        <v>471</v>
      </c>
      <c r="C169" s="24" t="s">
        <v>472</v>
      </c>
      <c r="D169" s="24" t="s">
        <v>473</v>
      </c>
      <c r="E169" s="24" t="s">
        <v>474</v>
      </c>
      <c r="F169" s="24" t="s">
        <v>170</v>
      </c>
      <c r="G169" s="24"/>
      <c r="H169" s="24" t="s">
        <v>146</v>
      </c>
      <c r="I169" s="24" t="s">
        <v>23</v>
      </c>
      <c r="J169" s="25" t="s">
        <v>172</v>
      </c>
      <c r="K169" s="25" t="s">
        <v>475</v>
      </c>
    </row>
    <row r="170" spans="1:11" ht="32.25" customHeight="1">
      <c r="A170" s="23" t="s">
        <v>98</v>
      </c>
      <c r="B170" s="24" t="s">
        <v>476</v>
      </c>
      <c r="C170" s="24" t="s">
        <v>477</v>
      </c>
      <c r="D170" s="24" t="s">
        <v>478</v>
      </c>
      <c r="E170" s="24"/>
      <c r="F170" s="24" t="s">
        <v>152</v>
      </c>
      <c r="G170" s="24"/>
      <c r="H170" s="24" t="s">
        <v>146</v>
      </c>
      <c r="I170" s="24" t="s">
        <v>705</v>
      </c>
      <c r="J170" s="25" t="s">
        <v>154</v>
      </c>
      <c r="K170" s="25"/>
    </row>
    <row r="171" spans="1:11" ht="63" customHeight="1">
      <c r="A171" s="23" t="s">
        <v>98</v>
      </c>
      <c r="B171" s="24" t="s">
        <v>479</v>
      </c>
      <c r="C171" s="24" t="s">
        <v>480</v>
      </c>
      <c r="D171" s="24" t="s">
        <v>481</v>
      </c>
      <c r="E171" s="24" t="s">
        <v>482</v>
      </c>
      <c r="F171" s="24" t="s">
        <v>483</v>
      </c>
      <c r="G171" s="24"/>
      <c r="H171" s="24" t="s">
        <v>146</v>
      </c>
      <c r="I171" s="24" t="s">
        <v>706</v>
      </c>
      <c r="J171" s="25" t="s">
        <v>485</v>
      </c>
      <c r="K171" s="25" t="s">
        <v>486</v>
      </c>
    </row>
    <row r="172" spans="1:11" ht="24" customHeight="1">
      <c r="A172" s="23" t="s">
        <v>98</v>
      </c>
      <c r="B172" s="24" t="s">
        <v>487</v>
      </c>
      <c r="C172" s="24" t="s">
        <v>488</v>
      </c>
      <c r="D172" s="24" t="s">
        <v>489</v>
      </c>
      <c r="E172" s="24"/>
      <c r="F172" s="24" t="s">
        <v>392</v>
      </c>
      <c r="G172" s="24"/>
      <c r="H172" s="24" t="s">
        <v>146</v>
      </c>
      <c r="I172" s="24" t="s">
        <v>707</v>
      </c>
      <c r="J172" s="25" t="s">
        <v>394</v>
      </c>
      <c r="K172" s="25"/>
    </row>
    <row r="173" spans="1:11" ht="36">
      <c r="A173" s="23" t="s">
        <v>98</v>
      </c>
      <c r="B173" s="24" t="s">
        <v>491</v>
      </c>
      <c r="C173" s="24" t="s">
        <v>492</v>
      </c>
      <c r="D173" s="24" t="s">
        <v>493</v>
      </c>
      <c r="E173" s="24" t="s">
        <v>494</v>
      </c>
      <c r="F173" s="24" t="s">
        <v>182</v>
      </c>
      <c r="G173" s="24"/>
      <c r="H173" s="24" t="s">
        <v>146</v>
      </c>
      <c r="I173" s="24" t="s">
        <v>708</v>
      </c>
      <c r="J173" s="25" t="s">
        <v>184</v>
      </c>
      <c r="K173" s="25" t="s">
        <v>496</v>
      </c>
    </row>
    <row r="174" spans="1:11" ht="24" customHeight="1">
      <c r="A174" s="23" t="s">
        <v>98</v>
      </c>
      <c r="B174" s="24" t="s">
        <v>497</v>
      </c>
      <c r="C174" s="24" t="s">
        <v>498</v>
      </c>
      <c r="D174" s="24" t="s">
        <v>499</v>
      </c>
      <c r="E174" s="24"/>
      <c r="F174" s="24" t="s">
        <v>500</v>
      </c>
      <c r="G174" s="24"/>
      <c r="H174" s="24" t="s">
        <v>146</v>
      </c>
      <c r="I174" s="24" t="s">
        <v>709</v>
      </c>
      <c r="J174" s="25" t="s">
        <v>502</v>
      </c>
      <c r="K174" s="25"/>
    </row>
    <row r="175" spans="1:11" ht="36">
      <c r="A175" s="23" t="s">
        <v>98</v>
      </c>
      <c r="B175" s="24" t="s">
        <v>503</v>
      </c>
      <c r="C175" s="24" t="s">
        <v>504</v>
      </c>
      <c r="D175" s="24" t="s">
        <v>505</v>
      </c>
      <c r="E175" s="24" t="s">
        <v>506</v>
      </c>
      <c r="F175" s="24" t="s">
        <v>182</v>
      </c>
      <c r="G175" s="24"/>
      <c r="H175" s="24" t="s">
        <v>146</v>
      </c>
      <c r="I175" s="24" t="s">
        <v>708</v>
      </c>
      <c r="J175" s="25" t="s">
        <v>184</v>
      </c>
      <c r="K175" s="25" t="s">
        <v>507</v>
      </c>
    </row>
    <row r="176" spans="1:11" ht="24" customHeight="1">
      <c r="A176" s="23" t="s">
        <v>98</v>
      </c>
      <c r="B176" s="24" t="s">
        <v>508</v>
      </c>
      <c r="C176" s="24" t="s">
        <v>509</v>
      </c>
      <c r="D176" s="24" t="s">
        <v>510</v>
      </c>
      <c r="E176" s="24"/>
      <c r="F176" s="24" t="s">
        <v>500</v>
      </c>
      <c r="G176" s="24"/>
      <c r="H176" s="24" t="s">
        <v>146</v>
      </c>
      <c r="I176" s="24" t="s">
        <v>709</v>
      </c>
      <c r="J176" s="25" t="s">
        <v>502</v>
      </c>
      <c r="K176" s="25"/>
    </row>
    <row r="177" spans="1:11" ht="66.75">
      <c r="A177" s="23" t="s">
        <v>98</v>
      </c>
      <c r="B177" s="24" t="s">
        <v>511</v>
      </c>
      <c r="C177" s="24" t="s">
        <v>512</v>
      </c>
      <c r="D177" s="24" t="s">
        <v>513</v>
      </c>
      <c r="E177" s="24" t="s">
        <v>514</v>
      </c>
      <c r="F177" s="24" t="s">
        <v>268</v>
      </c>
      <c r="G177" s="24"/>
      <c r="H177" s="24" t="s">
        <v>146</v>
      </c>
      <c r="I177" s="24" t="s">
        <v>23</v>
      </c>
      <c r="J177" s="25" t="s">
        <v>270</v>
      </c>
      <c r="K177" s="25" t="s">
        <v>516</v>
      </c>
    </row>
    <row r="178" spans="1:11" ht="24" customHeight="1">
      <c r="A178" s="23" t="s">
        <v>98</v>
      </c>
      <c r="B178" s="24" t="s">
        <v>517</v>
      </c>
      <c r="C178" s="24" t="s">
        <v>518</v>
      </c>
      <c r="D178" s="24" t="s">
        <v>519</v>
      </c>
      <c r="E178" s="24"/>
      <c r="F178" s="24" t="s">
        <v>152</v>
      </c>
      <c r="G178" s="24"/>
      <c r="H178" s="24" t="s">
        <v>146</v>
      </c>
      <c r="I178" s="24" t="s">
        <v>23</v>
      </c>
      <c r="J178" s="25" t="s">
        <v>154</v>
      </c>
      <c r="K178" s="25"/>
    </row>
    <row r="179" spans="1:11" ht="36">
      <c r="A179" s="23" t="s">
        <v>98</v>
      </c>
      <c r="B179" s="24" t="s">
        <v>521</v>
      </c>
      <c r="C179" s="24" t="s">
        <v>522</v>
      </c>
      <c r="D179" s="24" t="s">
        <v>523</v>
      </c>
      <c r="E179" s="24" t="s">
        <v>710</v>
      </c>
      <c r="F179" s="24" t="s">
        <v>170</v>
      </c>
      <c r="G179" s="24"/>
      <c r="H179" s="24" t="s">
        <v>146</v>
      </c>
      <c r="I179" s="24" t="s">
        <v>23</v>
      </c>
      <c r="J179" s="25" t="s">
        <v>172</v>
      </c>
      <c r="K179" s="25" t="s">
        <v>526</v>
      </c>
    </row>
    <row r="180" spans="1:11" ht="24" customHeight="1">
      <c r="A180" s="23" t="s">
        <v>98</v>
      </c>
      <c r="B180" s="24" t="s">
        <v>527</v>
      </c>
      <c r="C180" s="24" t="s">
        <v>528</v>
      </c>
      <c r="D180" s="24" t="s">
        <v>529</v>
      </c>
      <c r="E180" s="24"/>
      <c r="F180" s="24" t="s">
        <v>530</v>
      </c>
      <c r="G180" s="24"/>
      <c r="H180" s="24" t="s">
        <v>146</v>
      </c>
      <c r="I180" s="24" t="s">
        <v>670</v>
      </c>
      <c r="J180" s="25" t="s">
        <v>532</v>
      </c>
      <c r="K180" s="25"/>
    </row>
    <row r="181" spans="1:11" ht="24" customHeight="1">
      <c r="A181" s="23" t="s">
        <v>98</v>
      </c>
      <c r="B181" s="24" t="s">
        <v>533</v>
      </c>
      <c r="C181" s="24" t="s">
        <v>534</v>
      </c>
      <c r="D181" s="24" t="s">
        <v>533</v>
      </c>
      <c r="E181" s="24" t="s">
        <v>535</v>
      </c>
      <c r="F181" s="24" t="s">
        <v>285</v>
      </c>
      <c r="G181" s="24"/>
      <c r="H181" s="24"/>
      <c r="I181" s="24" t="s">
        <v>536</v>
      </c>
      <c r="J181" s="25" t="s">
        <v>537</v>
      </c>
      <c r="K181" s="25" t="s">
        <v>538</v>
      </c>
    </row>
    <row r="182" spans="1:11" ht="24" customHeight="1">
      <c r="A182" s="23" t="s">
        <v>98</v>
      </c>
      <c r="B182" s="24" t="s">
        <v>539</v>
      </c>
      <c r="C182" s="24" t="s">
        <v>540</v>
      </c>
      <c r="D182" s="24" t="s">
        <v>539</v>
      </c>
      <c r="E182" s="24"/>
      <c r="F182" s="24" t="s">
        <v>308</v>
      </c>
      <c r="G182" s="24"/>
      <c r="H182" s="24"/>
      <c r="I182" s="24" t="s">
        <v>536</v>
      </c>
      <c r="J182" s="25" t="s">
        <v>541</v>
      </c>
      <c r="K182" s="25"/>
    </row>
    <row r="183" spans="1:11" ht="96">
      <c r="A183" s="23" t="s">
        <v>98</v>
      </c>
      <c r="B183" s="24" t="s">
        <v>542</v>
      </c>
      <c r="C183" s="24" t="s">
        <v>542</v>
      </c>
      <c r="D183" s="24" t="s">
        <v>543</v>
      </c>
      <c r="E183" s="24" t="s">
        <v>544</v>
      </c>
      <c r="F183" s="24" t="s">
        <v>182</v>
      </c>
      <c r="G183" s="24"/>
      <c r="H183" s="24" t="s">
        <v>146</v>
      </c>
      <c r="I183" s="24" t="s">
        <v>23</v>
      </c>
      <c r="J183" s="25" t="s">
        <v>184</v>
      </c>
      <c r="K183" s="25" t="s">
        <v>546</v>
      </c>
    </row>
    <row r="184" spans="1:11" ht="24" customHeight="1">
      <c r="A184" s="23" t="s">
        <v>98</v>
      </c>
      <c r="B184" s="24" t="s">
        <v>547</v>
      </c>
      <c r="C184" s="24" t="s">
        <v>547</v>
      </c>
      <c r="D184" s="24" t="s">
        <v>548</v>
      </c>
      <c r="E184" s="24"/>
      <c r="F184" s="24" t="s">
        <v>549</v>
      </c>
      <c r="G184" s="24"/>
      <c r="H184" s="24" t="s">
        <v>146</v>
      </c>
      <c r="I184" s="24" t="s">
        <v>711</v>
      </c>
      <c r="J184" s="25" t="s">
        <v>550</v>
      </c>
      <c r="K184" s="25"/>
    </row>
    <row r="185" spans="1:11" ht="72">
      <c r="A185" s="23" t="s">
        <v>98</v>
      </c>
      <c r="B185" s="24" t="s">
        <v>551</v>
      </c>
      <c r="C185" s="24" t="s">
        <v>552</v>
      </c>
      <c r="D185" s="24" t="s">
        <v>553</v>
      </c>
      <c r="E185" s="24" t="s">
        <v>554</v>
      </c>
      <c r="F185" s="24" t="s">
        <v>254</v>
      </c>
      <c r="G185" s="24"/>
      <c r="H185" s="24" t="s">
        <v>146</v>
      </c>
      <c r="I185" s="24" t="s">
        <v>712</v>
      </c>
      <c r="J185" s="25" t="s">
        <v>256</v>
      </c>
      <c r="K185" s="25" t="s">
        <v>556</v>
      </c>
    </row>
    <row r="186" spans="1:11" ht="24" customHeight="1">
      <c r="A186" s="23" t="s">
        <v>98</v>
      </c>
      <c r="B186" s="24" t="s">
        <v>557</v>
      </c>
      <c r="C186" s="24" t="s">
        <v>558</v>
      </c>
      <c r="D186" s="24" t="s">
        <v>559</v>
      </c>
      <c r="E186" s="24"/>
      <c r="F186" s="24" t="s">
        <v>152</v>
      </c>
      <c r="G186" s="24"/>
      <c r="H186" s="24" t="s">
        <v>146</v>
      </c>
      <c r="I186" s="24" t="s">
        <v>713</v>
      </c>
      <c r="J186" s="25" t="s">
        <v>154</v>
      </c>
      <c r="K186" s="25"/>
    </row>
    <row r="187" spans="1:11" ht="48">
      <c r="A187" s="23" t="s">
        <v>98</v>
      </c>
      <c r="B187" s="24" t="s">
        <v>561</v>
      </c>
      <c r="C187" s="24" t="s">
        <v>562</v>
      </c>
      <c r="D187" s="24" t="s">
        <v>563</v>
      </c>
      <c r="E187" s="24" t="s">
        <v>564</v>
      </c>
      <c r="F187" s="24" t="s">
        <v>285</v>
      </c>
      <c r="G187" s="24"/>
      <c r="H187" s="24" t="s">
        <v>146</v>
      </c>
      <c r="I187" s="24">
        <v>3546669</v>
      </c>
      <c r="J187" s="25" t="s">
        <v>287</v>
      </c>
      <c r="K187" s="25" t="s">
        <v>565</v>
      </c>
    </row>
    <row r="188" spans="1:11" ht="24" customHeight="1">
      <c r="A188" s="23" t="s">
        <v>98</v>
      </c>
      <c r="B188" s="24" t="s">
        <v>566</v>
      </c>
      <c r="C188" s="24" t="s">
        <v>567</v>
      </c>
      <c r="D188" s="24" t="s">
        <v>568</v>
      </c>
      <c r="E188" s="24"/>
      <c r="F188" s="24" t="s">
        <v>330</v>
      </c>
      <c r="G188" s="24"/>
      <c r="H188" s="24" t="s">
        <v>146</v>
      </c>
      <c r="I188" s="24" t="s">
        <v>714</v>
      </c>
      <c r="J188" s="25" t="s">
        <v>332</v>
      </c>
      <c r="K188" s="25"/>
    </row>
    <row r="189" spans="1:11" ht="24" customHeight="1">
      <c r="A189" s="23" t="s">
        <v>98</v>
      </c>
      <c r="B189" s="24" t="s">
        <v>570</v>
      </c>
      <c r="C189" s="24" t="s">
        <v>571</v>
      </c>
      <c r="D189" s="24" t="s">
        <v>572</v>
      </c>
      <c r="E189" s="24" t="s">
        <v>573</v>
      </c>
      <c r="F189" s="24" t="s">
        <v>268</v>
      </c>
      <c r="G189" s="24"/>
      <c r="H189" s="24" t="s">
        <v>146</v>
      </c>
      <c r="I189" s="24" t="s">
        <v>715</v>
      </c>
      <c r="J189" s="25" t="s">
        <v>270</v>
      </c>
      <c r="K189" s="25" t="s">
        <v>575</v>
      </c>
    </row>
    <row r="190" spans="1:11" ht="24" customHeight="1">
      <c r="A190" s="23" t="s">
        <v>98</v>
      </c>
      <c r="B190" s="24" t="s">
        <v>576</v>
      </c>
      <c r="C190" s="24" t="s">
        <v>577</v>
      </c>
      <c r="D190" s="24" t="s">
        <v>578</v>
      </c>
      <c r="E190" s="24"/>
      <c r="F190" s="24" t="s">
        <v>152</v>
      </c>
      <c r="G190" s="24"/>
      <c r="H190" s="24" t="s">
        <v>146</v>
      </c>
      <c r="I190" s="24" t="s">
        <v>716</v>
      </c>
      <c r="J190" s="25" t="s">
        <v>154</v>
      </c>
      <c r="K190" s="25"/>
    </row>
    <row r="191" spans="1:11" ht="48">
      <c r="A191" s="23" t="s">
        <v>98</v>
      </c>
      <c r="B191" s="24" t="s">
        <v>580</v>
      </c>
      <c r="C191" s="24" t="s">
        <v>581</v>
      </c>
      <c r="D191" s="24" t="s">
        <v>582</v>
      </c>
      <c r="E191" s="24" t="s">
        <v>583</v>
      </c>
      <c r="F191" s="24" t="s">
        <v>285</v>
      </c>
      <c r="G191" s="24"/>
      <c r="H191" s="24" t="s">
        <v>146</v>
      </c>
      <c r="I191" s="24">
        <v>3546669</v>
      </c>
      <c r="J191" s="25" t="s">
        <v>287</v>
      </c>
      <c r="K191" s="25" t="s">
        <v>584</v>
      </c>
    </row>
    <row r="192" spans="1:11" ht="24" customHeight="1">
      <c r="A192" s="23" t="s">
        <v>98</v>
      </c>
      <c r="B192" s="24" t="s">
        <v>585</v>
      </c>
      <c r="C192" s="24" t="s">
        <v>586</v>
      </c>
      <c r="D192" s="24" t="s">
        <v>587</v>
      </c>
      <c r="E192" s="24"/>
      <c r="F192" s="24" t="s">
        <v>330</v>
      </c>
      <c r="G192" s="24"/>
      <c r="H192" s="24" t="s">
        <v>146</v>
      </c>
      <c r="I192" s="24" t="s">
        <v>714</v>
      </c>
      <c r="J192" s="25" t="s">
        <v>332</v>
      </c>
      <c r="K192" s="25"/>
    </row>
    <row r="193" spans="1:11" ht="24" customHeight="1">
      <c r="A193" s="23" t="s">
        <v>98</v>
      </c>
      <c r="B193" s="24" t="s">
        <v>588</v>
      </c>
      <c r="C193" s="24" t="s">
        <v>589</v>
      </c>
      <c r="D193" s="24" t="s">
        <v>590</v>
      </c>
      <c r="E193" s="24" t="s">
        <v>591</v>
      </c>
      <c r="F193" s="24" t="s">
        <v>268</v>
      </c>
      <c r="G193" s="24"/>
      <c r="H193" s="24" t="s">
        <v>146</v>
      </c>
      <c r="I193" s="24" t="s">
        <v>717</v>
      </c>
      <c r="J193" s="25" t="s">
        <v>270</v>
      </c>
      <c r="K193" s="25" t="s">
        <v>593</v>
      </c>
    </row>
    <row r="194" spans="1:11" ht="24" customHeight="1">
      <c r="A194" s="23" t="s">
        <v>98</v>
      </c>
      <c r="B194" s="24" t="s">
        <v>594</v>
      </c>
      <c r="C194" s="24" t="s">
        <v>595</v>
      </c>
      <c r="D194" s="24" t="s">
        <v>596</v>
      </c>
      <c r="E194" s="24"/>
      <c r="F194" s="24" t="s">
        <v>152</v>
      </c>
      <c r="G194" s="24"/>
      <c r="H194" s="24" t="s">
        <v>146</v>
      </c>
      <c r="I194" s="24" t="s">
        <v>716</v>
      </c>
      <c r="J194" s="25" t="s">
        <v>154</v>
      </c>
      <c r="K194" s="25"/>
    </row>
    <row r="195" spans="1:11" ht="24" customHeight="1">
      <c r="A195" s="23" t="s">
        <v>98</v>
      </c>
      <c r="B195" s="24" t="s">
        <v>597</v>
      </c>
      <c r="C195" s="24" t="s">
        <v>598</v>
      </c>
      <c r="D195" s="24" t="s">
        <v>599</v>
      </c>
      <c r="E195" s="24" t="s">
        <v>600</v>
      </c>
      <c r="F195" s="24" t="s">
        <v>218</v>
      </c>
      <c r="G195" s="24"/>
      <c r="H195" s="24" t="s">
        <v>146</v>
      </c>
      <c r="I195" s="24" t="s">
        <v>718</v>
      </c>
      <c r="J195" s="25" t="s">
        <v>220</v>
      </c>
      <c r="K195" s="25" t="s">
        <v>602</v>
      </c>
    </row>
    <row r="196" spans="1:11" ht="24" customHeight="1">
      <c r="A196" s="23" t="s">
        <v>98</v>
      </c>
      <c r="B196" s="24" t="s">
        <v>603</v>
      </c>
      <c r="C196" s="24" t="s">
        <v>604</v>
      </c>
      <c r="D196" s="24" t="s">
        <v>605</v>
      </c>
      <c r="E196" s="24"/>
      <c r="F196" s="24" t="s">
        <v>152</v>
      </c>
      <c r="G196" s="24"/>
      <c r="H196" s="24" t="s">
        <v>146</v>
      </c>
      <c r="I196" s="24" t="s">
        <v>719</v>
      </c>
      <c r="J196" s="25" t="s">
        <v>154</v>
      </c>
      <c r="K196" s="25"/>
    </row>
    <row r="197" spans="1:11" ht="24" customHeight="1">
      <c r="A197" s="23" t="s">
        <v>98</v>
      </c>
      <c r="B197" s="24" t="s">
        <v>607</v>
      </c>
      <c r="C197" s="24" t="s">
        <v>608</v>
      </c>
      <c r="D197" s="24" t="s">
        <v>609</v>
      </c>
      <c r="E197" s="24" t="s">
        <v>610</v>
      </c>
      <c r="F197" s="24" t="s">
        <v>218</v>
      </c>
      <c r="G197" s="24"/>
      <c r="H197" s="24" t="s">
        <v>146</v>
      </c>
      <c r="I197" s="24" t="s">
        <v>718</v>
      </c>
      <c r="J197" s="25" t="s">
        <v>220</v>
      </c>
      <c r="K197" s="25" t="s">
        <v>611</v>
      </c>
    </row>
    <row r="198" spans="1:11" ht="24" customHeight="1">
      <c r="A198" s="23" t="s">
        <v>98</v>
      </c>
      <c r="B198" s="24" t="s">
        <v>612</v>
      </c>
      <c r="C198" s="24" t="s">
        <v>613</v>
      </c>
      <c r="D198" s="24" t="s">
        <v>614</v>
      </c>
      <c r="E198" s="24"/>
      <c r="F198" s="24" t="s">
        <v>152</v>
      </c>
      <c r="G198" s="24"/>
      <c r="H198" s="24" t="s">
        <v>146</v>
      </c>
      <c r="I198" s="24" t="s">
        <v>719</v>
      </c>
      <c r="J198" s="25" t="s">
        <v>154</v>
      </c>
      <c r="K198" s="25"/>
    </row>
    <row r="199" spans="1:11" ht="48">
      <c r="A199" s="23" t="s">
        <v>98</v>
      </c>
      <c r="B199" s="24" t="s">
        <v>615</v>
      </c>
      <c r="C199" s="24" t="s">
        <v>616</v>
      </c>
      <c r="D199" s="24" t="s">
        <v>617</v>
      </c>
      <c r="E199" s="24" t="s">
        <v>618</v>
      </c>
      <c r="F199" s="24" t="s">
        <v>285</v>
      </c>
      <c r="G199" s="24"/>
      <c r="H199" s="24" t="s">
        <v>146</v>
      </c>
      <c r="I199" s="24" t="s">
        <v>706</v>
      </c>
      <c r="J199" s="25" t="s">
        <v>287</v>
      </c>
      <c r="K199" s="25" t="s">
        <v>620</v>
      </c>
    </row>
    <row r="200" spans="1:11" ht="24" customHeight="1">
      <c r="A200" s="23" t="s">
        <v>98</v>
      </c>
      <c r="B200" s="24" t="s">
        <v>621</v>
      </c>
      <c r="C200" s="24" t="s">
        <v>622</v>
      </c>
      <c r="D200" s="24" t="s">
        <v>623</v>
      </c>
      <c r="E200" s="24"/>
      <c r="F200" s="24" t="s">
        <v>392</v>
      </c>
      <c r="G200" s="24"/>
      <c r="H200" s="24" t="s">
        <v>146</v>
      </c>
      <c r="I200" s="24" t="s">
        <v>707</v>
      </c>
      <c r="J200" s="25" t="s">
        <v>394</v>
      </c>
      <c r="K200" s="25"/>
    </row>
    <row r="201" spans="1:11" ht="36" customHeight="1">
      <c r="A201" s="23" t="s">
        <v>98</v>
      </c>
      <c r="B201" s="24" t="s">
        <v>720</v>
      </c>
      <c r="C201" s="24" t="s">
        <v>721</v>
      </c>
      <c r="D201" s="24" t="s">
        <v>722</v>
      </c>
      <c r="E201" s="24" t="s">
        <v>723</v>
      </c>
      <c r="F201" s="24" t="s">
        <v>629</v>
      </c>
      <c r="G201" s="24"/>
      <c r="H201" s="24" t="s">
        <v>146</v>
      </c>
      <c r="I201" s="24" t="s">
        <v>724</v>
      </c>
      <c r="J201" s="25" t="s">
        <v>631</v>
      </c>
      <c r="K201" s="25" t="s">
        <v>725</v>
      </c>
    </row>
    <row r="202" spans="1:11" ht="24" customHeight="1">
      <c r="A202" s="23" t="s">
        <v>98</v>
      </c>
      <c r="B202" s="24" t="s">
        <v>726</v>
      </c>
      <c r="C202" s="24" t="s">
        <v>727</v>
      </c>
      <c r="D202" s="24" t="s">
        <v>728</v>
      </c>
      <c r="E202" s="24" t="s">
        <v>729</v>
      </c>
      <c r="F202" s="24" t="s">
        <v>637</v>
      </c>
      <c r="G202" s="24"/>
      <c r="H202" s="24" t="s">
        <v>146</v>
      </c>
      <c r="I202" s="24">
        <v>1</v>
      </c>
      <c r="J202" s="25" t="s">
        <v>639</v>
      </c>
      <c r="K202" s="25" t="s">
        <v>730</v>
      </c>
    </row>
    <row r="203" spans="1:11" ht="24" customHeight="1">
      <c r="A203" s="23" t="s">
        <v>98</v>
      </c>
      <c r="B203" s="24" t="s">
        <v>731</v>
      </c>
      <c r="C203" s="24" t="s">
        <v>732</v>
      </c>
      <c r="D203" s="24" t="s">
        <v>733</v>
      </c>
      <c r="E203" s="24" t="s">
        <v>734</v>
      </c>
      <c r="F203" s="24" t="s">
        <v>735</v>
      </c>
      <c r="G203" s="24"/>
      <c r="H203" s="24" t="s">
        <v>146</v>
      </c>
      <c r="I203" s="24">
        <v>-36.25</v>
      </c>
      <c r="J203" s="25" t="s">
        <v>736</v>
      </c>
      <c r="K203" s="25" t="s">
        <v>737</v>
      </c>
    </row>
    <row r="204" spans="1:11" ht="24" customHeight="1">
      <c r="A204" s="23" t="s">
        <v>98</v>
      </c>
      <c r="B204" s="24" t="s">
        <v>738</v>
      </c>
      <c r="C204" s="24" t="s">
        <v>739</v>
      </c>
      <c r="D204" s="24" t="s">
        <v>740</v>
      </c>
      <c r="E204" s="24" t="s">
        <v>741</v>
      </c>
      <c r="F204" s="24" t="s">
        <v>742</v>
      </c>
      <c r="G204" s="24"/>
      <c r="H204" s="24" t="s">
        <v>146</v>
      </c>
      <c r="I204" s="24" t="s">
        <v>743</v>
      </c>
      <c r="J204" s="25" t="s">
        <v>744</v>
      </c>
      <c r="K204" s="25" t="s">
        <v>745</v>
      </c>
    </row>
    <row r="205" spans="1:11" ht="24" customHeight="1">
      <c r="A205" s="23" t="s">
        <v>98</v>
      </c>
      <c r="B205" s="24" t="s">
        <v>746</v>
      </c>
      <c r="C205" s="24" t="s">
        <v>747</v>
      </c>
      <c r="D205" s="24" t="s">
        <v>748</v>
      </c>
      <c r="E205" s="24" t="s">
        <v>749</v>
      </c>
      <c r="F205" s="24" t="s">
        <v>742</v>
      </c>
      <c r="G205" s="24"/>
      <c r="H205" s="24" t="s">
        <v>146</v>
      </c>
      <c r="I205" s="24" t="s">
        <v>743</v>
      </c>
      <c r="J205" s="25" t="s">
        <v>744</v>
      </c>
      <c r="K205" s="25" t="s">
        <v>750</v>
      </c>
    </row>
    <row r="206" spans="1:11" ht="24" customHeight="1">
      <c r="A206" s="23" t="s">
        <v>98</v>
      </c>
      <c r="B206" s="24" t="s">
        <v>751</v>
      </c>
      <c r="C206" s="24" t="s">
        <v>752</v>
      </c>
      <c r="D206" s="24" t="s">
        <v>753</v>
      </c>
      <c r="E206" s="24" t="s">
        <v>754</v>
      </c>
      <c r="F206" s="24" t="s">
        <v>755</v>
      </c>
      <c r="G206" s="24"/>
      <c r="H206" s="24" t="s">
        <v>146</v>
      </c>
      <c r="I206" s="24">
        <v>0</v>
      </c>
      <c r="J206" s="25" t="s">
        <v>756</v>
      </c>
      <c r="K206" s="25" t="s">
        <v>757</v>
      </c>
    </row>
    <row r="207" spans="1:11" s="58" customFormat="1" ht="70.900000000000006" customHeight="1">
      <c r="A207" s="55" t="s">
        <v>98</v>
      </c>
      <c r="B207" s="56" t="s">
        <v>758</v>
      </c>
      <c r="C207" s="56" t="s">
        <v>759</v>
      </c>
      <c r="D207" s="56" t="s">
        <v>760</v>
      </c>
      <c r="E207" s="56" t="s">
        <v>761</v>
      </c>
      <c r="F207" s="56" t="s">
        <v>742</v>
      </c>
      <c r="G207" s="56"/>
      <c r="H207" s="56" t="s">
        <v>146</v>
      </c>
      <c r="I207" s="56" t="s">
        <v>762</v>
      </c>
      <c r="J207" s="57" t="s">
        <v>744</v>
      </c>
      <c r="K207" s="57" t="s">
        <v>763</v>
      </c>
    </row>
    <row r="208" spans="1:11" s="58" customFormat="1" ht="36" customHeight="1">
      <c r="A208" s="55" t="s">
        <v>98</v>
      </c>
      <c r="B208" s="56" t="s">
        <v>764</v>
      </c>
      <c r="C208" s="56" t="s">
        <v>765</v>
      </c>
      <c r="D208" s="56" t="s">
        <v>766</v>
      </c>
      <c r="E208" s="56" t="s">
        <v>767</v>
      </c>
      <c r="F208" s="56" t="s">
        <v>742</v>
      </c>
      <c r="G208" s="56"/>
      <c r="H208" s="56" t="s">
        <v>146</v>
      </c>
      <c r="I208" s="56" t="s">
        <v>768</v>
      </c>
      <c r="J208" s="57" t="s">
        <v>744</v>
      </c>
      <c r="K208" s="57" t="s">
        <v>769</v>
      </c>
    </row>
    <row r="209" spans="1:11" s="58" customFormat="1" ht="36" customHeight="1">
      <c r="A209" s="24" t="s">
        <v>98</v>
      </c>
      <c r="B209" s="24" t="s">
        <v>770</v>
      </c>
      <c r="C209" s="24" t="s">
        <v>771</v>
      </c>
      <c r="D209" s="24" t="s">
        <v>772</v>
      </c>
      <c r="E209" s="24" t="s">
        <v>773</v>
      </c>
      <c r="F209" s="24" t="s">
        <v>629</v>
      </c>
      <c r="G209" s="24"/>
      <c r="H209" s="24" t="b">
        <v>0</v>
      </c>
      <c r="I209" s="24" t="s">
        <v>774</v>
      </c>
      <c r="J209" s="25" t="s">
        <v>631</v>
      </c>
      <c r="K209" s="24" t="s">
        <v>775</v>
      </c>
    </row>
    <row r="210" spans="1:11" ht="36" customHeight="1">
      <c r="A210" s="23" t="s">
        <v>98</v>
      </c>
      <c r="B210" s="24" t="s">
        <v>776</v>
      </c>
      <c r="C210" s="24" t="s">
        <v>777</v>
      </c>
      <c r="D210" s="24" t="s">
        <v>778</v>
      </c>
      <c r="E210" s="24" t="s">
        <v>779</v>
      </c>
      <c r="F210" s="24" t="s">
        <v>742</v>
      </c>
      <c r="G210" s="24"/>
      <c r="H210" s="24" t="s">
        <v>146</v>
      </c>
      <c r="I210" s="24">
        <v>47062.29</v>
      </c>
      <c r="J210" s="25" t="s">
        <v>744</v>
      </c>
      <c r="K210" s="25" t="s">
        <v>780</v>
      </c>
    </row>
    <row r="211" spans="1:11" ht="36" customHeight="1">
      <c r="A211" s="23" t="s">
        <v>98</v>
      </c>
      <c r="B211" s="24" t="s">
        <v>781</v>
      </c>
      <c r="C211" s="24" t="s">
        <v>782</v>
      </c>
      <c r="D211" s="24" t="s">
        <v>783</v>
      </c>
      <c r="E211" s="24" t="s">
        <v>784</v>
      </c>
      <c r="F211" s="24" t="s">
        <v>742</v>
      </c>
      <c r="G211" s="24"/>
      <c r="H211" s="24" t="s">
        <v>146</v>
      </c>
      <c r="I211" s="24">
        <v>43933.46</v>
      </c>
      <c r="J211" s="25" t="s">
        <v>744</v>
      </c>
      <c r="K211" s="25" t="s">
        <v>785</v>
      </c>
    </row>
    <row r="212" spans="1:11" ht="24" customHeight="1">
      <c r="A212" s="23" t="s">
        <v>98</v>
      </c>
      <c r="B212" s="24" t="s">
        <v>786</v>
      </c>
      <c r="C212" s="24" t="s">
        <v>787</v>
      </c>
      <c r="D212" s="24" t="s">
        <v>788</v>
      </c>
      <c r="E212" s="24" t="s">
        <v>789</v>
      </c>
      <c r="F212" s="24" t="s">
        <v>742</v>
      </c>
      <c r="G212" s="24"/>
      <c r="H212" s="24" t="s">
        <v>146</v>
      </c>
      <c r="I212" s="24">
        <v>90995.74</v>
      </c>
      <c r="J212" s="25" t="s">
        <v>744</v>
      </c>
      <c r="K212" s="25" t="s">
        <v>790</v>
      </c>
    </row>
    <row r="213" spans="1:11" ht="24" customHeight="1">
      <c r="A213" s="23" t="s">
        <v>104</v>
      </c>
      <c r="B213" s="24" t="s">
        <v>141</v>
      </c>
      <c r="C213" s="24" t="s">
        <v>142</v>
      </c>
      <c r="D213" s="24" t="s">
        <v>143</v>
      </c>
      <c r="E213" s="24" t="s">
        <v>144</v>
      </c>
      <c r="F213" s="24" t="s">
        <v>145</v>
      </c>
      <c r="G213" s="24"/>
      <c r="H213" s="24" t="s">
        <v>146</v>
      </c>
      <c r="I213" s="24">
        <v>77</v>
      </c>
      <c r="J213" s="25" t="s">
        <v>147</v>
      </c>
      <c r="K213" s="25" t="s">
        <v>148</v>
      </c>
    </row>
    <row r="214" spans="1:11" ht="24" customHeight="1">
      <c r="A214" s="23" t="s">
        <v>104</v>
      </c>
      <c r="B214" s="24" t="s">
        <v>149</v>
      </c>
      <c r="C214" s="24" t="s">
        <v>150</v>
      </c>
      <c r="D214" s="24" t="s">
        <v>151</v>
      </c>
      <c r="E214" s="24"/>
      <c r="F214" s="24" t="s">
        <v>152</v>
      </c>
      <c r="G214" s="24"/>
      <c r="H214" s="24" t="s">
        <v>146</v>
      </c>
      <c r="I214" s="24" t="s">
        <v>791</v>
      </c>
      <c r="J214" s="25" t="s">
        <v>154</v>
      </c>
      <c r="K214" s="25"/>
    </row>
    <row r="215" spans="1:11" ht="24" customHeight="1">
      <c r="A215" s="23" t="s">
        <v>104</v>
      </c>
      <c r="B215" s="24" t="s">
        <v>155</v>
      </c>
      <c r="C215" s="24" t="s">
        <v>156</v>
      </c>
      <c r="D215" s="24" t="s">
        <v>157</v>
      </c>
      <c r="E215" s="24" t="s">
        <v>158</v>
      </c>
      <c r="F215" s="24" t="s">
        <v>159</v>
      </c>
      <c r="G215" s="24"/>
      <c r="H215" s="24" t="s">
        <v>146</v>
      </c>
      <c r="I215" s="24">
        <v>1751</v>
      </c>
      <c r="J215" s="25" t="s">
        <v>160</v>
      </c>
      <c r="K215" s="25" t="s">
        <v>161</v>
      </c>
    </row>
    <row r="216" spans="1:11" ht="24" customHeight="1">
      <c r="A216" s="23" t="s">
        <v>104</v>
      </c>
      <c r="B216" s="24" t="s">
        <v>162</v>
      </c>
      <c r="C216" s="24" t="s">
        <v>163</v>
      </c>
      <c r="D216" s="24" t="s">
        <v>164</v>
      </c>
      <c r="E216" s="24"/>
      <c r="F216" s="24" t="s">
        <v>152</v>
      </c>
      <c r="G216" s="24"/>
      <c r="H216" s="24" t="s">
        <v>146</v>
      </c>
      <c r="I216" s="24" t="s">
        <v>792</v>
      </c>
      <c r="J216" s="25" t="s">
        <v>154</v>
      </c>
      <c r="K216" s="25"/>
    </row>
    <row r="217" spans="1:11" ht="60">
      <c r="A217" s="23" t="s">
        <v>104</v>
      </c>
      <c r="B217" s="24" t="s">
        <v>166</v>
      </c>
      <c r="C217" s="24" t="s">
        <v>167</v>
      </c>
      <c r="D217" s="24" t="s">
        <v>168</v>
      </c>
      <c r="E217" s="24" t="s">
        <v>169</v>
      </c>
      <c r="F217" s="24" t="s">
        <v>170</v>
      </c>
      <c r="G217" s="24"/>
      <c r="H217" s="24" t="s">
        <v>146</v>
      </c>
      <c r="I217" s="24" t="s">
        <v>793</v>
      </c>
      <c r="J217" s="25" t="s">
        <v>172</v>
      </c>
      <c r="K217" s="25" t="s">
        <v>173</v>
      </c>
    </row>
    <row r="218" spans="1:11" ht="24" customHeight="1">
      <c r="A218" s="23" t="s">
        <v>104</v>
      </c>
      <c r="B218" s="24" t="s">
        <v>174</v>
      </c>
      <c r="C218" s="24" t="s">
        <v>175</v>
      </c>
      <c r="D218" s="24" t="s">
        <v>176</v>
      </c>
      <c r="E218" s="24"/>
      <c r="F218" s="24" t="s">
        <v>152</v>
      </c>
      <c r="G218" s="24"/>
      <c r="H218" s="24" t="s">
        <v>146</v>
      </c>
      <c r="I218" s="24" t="s">
        <v>794</v>
      </c>
      <c r="J218" s="25" t="s">
        <v>154</v>
      </c>
      <c r="K218" s="25"/>
    </row>
    <row r="219" spans="1:11" ht="48">
      <c r="A219" s="23" t="s">
        <v>104</v>
      </c>
      <c r="B219" s="24" t="s">
        <v>178</v>
      </c>
      <c r="C219" s="24" t="s">
        <v>179</v>
      </c>
      <c r="D219" s="24" t="s">
        <v>180</v>
      </c>
      <c r="E219" s="24" t="s">
        <v>181</v>
      </c>
      <c r="F219" s="24" t="s">
        <v>182</v>
      </c>
      <c r="G219" s="24"/>
      <c r="H219" s="24" t="s">
        <v>146</v>
      </c>
      <c r="I219" s="24" t="s">
        <v>795</v>
      </c>
      <c r="J219" s="25" t="s">
        <v>184</v>
      </c>
      <c r="K219" s="25" t="s">
        <v>185</v>
      </c>
    </row>
    <row r="220" spans="1:11" ht="24" customHeight="1">
      <c r="A220" s="23" t="s">
        <v>104</v>
      </c>
      <c r="B220" s="24" t="s">
        <v>186</v>
      </c>
      <c r="C220" s="24" t="s">
        <v>187</v>
      </c>
      <c r="D220" s="24" t="s">
        <v>188</v>
      </c>
      <c r="E220" s="24"/>
      <c r="F220" s="24" t="s">
        <v>189</v>
      </c>
      <c r="G220" s="24"/>
      <c r="H220" s="24" t="s">
        <v>146</v>
      </c>
      <c r="I220" s="24" t="s">
        <v>796</v>
      </c>
      <c r="J220" s="25" t="s">
        <v>191</v>
      </c>
      <c r="K220" s="25"/>
    </row>
    <row r="221" spans="1:11" ht="48">
      <c r="A221" s="23" t="s">
        <v>104</v>
      </c>
      <c r="B221" s="24" t="s">
        <v>192</v>
      </c>
      <c r="C221" s="24" t="s">
        <v>193</v>
      </c>
      <c r="D221" s="24" t="s">
        <v>194</v>
      </c>
      <c r="E221" s="24" t="s">
        <v>195</v>
      </c>
      <c r="F221" s="24" t="s">
        <v>182</v>
      </c>
      <c r="G221" s="24"/>
      <c r="H221" s="24" t="s">
        <v>146</v>
      </c>
      <c r="I221" s="24" t="s">
        <v>795</v>
      </c>
      <c r="J221" s="25" t="s">
        <v>184</v>
      </c>
      <c r="K221" s="25" t="s">
        <v>196</v>
      </c>
    </row>
    <row r="222" spans="1:11" ht="24" customHeight="1">
      <c r="A222" s="23" t="s">
        <v>104</v>
      </c>
      <c r="B222" s="24" t="s">
        <v>197</v>
      </c>
      <c r="C222" s="24" t="s">
        <v>198</v>
      </c>
      <c r="D222" s="24" t="s">
        <v>199</v>
      </c>
      <c r="E222" s="24"/>
      <c r="F222" s="24" t="s">
        <v>200</v>
      </c>
      <c r="G222" s="24"/>
      <c r="H222" s="24" t="s">
        <v>146</v>
      </c>
      <c r="I222" s="24" t="s">
        <v>796</v>
      </c>
      <c r="J222" s="25" t="s">
        <v>201</v>
      </c>
      <c r="K222" s="25"/>
    </row>
    <row r="223" spans="1:11" ht="24" customHeight="1">
      <c r="A223" s="23" t="s">
        <v>104</v>
      </c>
      <c r="B223" s="24" t="s">
        <v>202</v>
      </c>
      <c r="C223" s="24" t="s">
        <v>203</v>
      </c>
      <c r="D223" s="24" t="s">
        <v>204</v>
      </c>
      <c r="E223" s="24" t="s">
        <v>205</v>
      </c>
      <c r="F223" s="24" t="s">
        <v>182</v>
      </c>
      <c r="G223" s="24"/>
      <c r="H223" s="24" t="s">
        <v>146</v>
      </c>
      <c r="I223" s="24" t="s">
        <v>797</v>
      </c>
      <c r="J223" s="25" t="s">
        <v>184</v>
      </c>
      <c r="K223" s="25" t="s">
        <v>207</v>
      </c>
    </row>
    <row r="224" spans="1:11" ht="24" customHeight="1">
      <c r="A224" s="23" t="s">
        <v>104</v>
      </c>
      <c r="B224" s="24" t="s">
        <v>208</v>
      </c>
      <c r="C224" s="24" t="s">
        <v>209</v>
      </c>
      <c r="D224" s="24" t="s">
        <v>210</v>
      </c>
      <c r="E224" s="24"/>
      <c r="F224" s="24" t="s">
        <v>211</v>
      </c>
      <c r="G224" s="24"/>
      <c r="H224" s="24" t="s">
        <v>146</v>
      </c>
      <c r="I224" s="24" t="s">
        <v>798</v>
      </c>
      <c r="J224" s="25" t="s">
        <v>213</v>
      </c>
      <c r="K224" s="25"/>
    </row>
    <row r="225" spans="1:11" ht="24" customHeight="1">
      <c r="A225" s="23" t="s">
        <v>104</v>
      </c>
      <c r="B225" s="24" t="s">
        <v>214</v>
      </c>
      <c r="C225" s="24" t="s">
        <v>215</v>
      </c>
      <c r="D225" s="24" t="s">
        <v>216</v>
      </c>
      <c r="E225" s="24" t="s">
        <v>217</v>
      </c>
      <c r="F225" s="24" t="s">
        <v>218</v>
      </c>
      <c r="G225" s="24"/>
      <c r="H225" s="24" t="s">
        <v>146</v>
      </c>
      <c r="I225" s="24" t="s">
        <v>799</v>
      </c>
      <c r="J225" s="25" t="s">
        <v>220</v>
      </c>
      <c r="K225" s="25" t="s">
        <v>221</v>
      </c>
    </row>
    <row r="226" spans="1:11" ht="24" customHeight="1">
      <c r="A226" s="23" t="s">
        <v>104</v>
      </c>
      <c r="B226" s="24" t="s">
        <v>222</v>
      </c>
      <c r="C226" s="24" t="s">
        <v>223</v>
      </c>
      <c r="D226" s="24" t="s">
        <v>224</v>
      </c>
      <c r="E226" s="24"/>
      <c r="F226" s="24" t="s">
        <v>152</v>
      </c>
      <c r="G226" s="24"/>
      <c r="H226" s="24" t="s">
        <v>146</v>
      </c>
      <c r="I226" s="24" t="s">
        <v>800</v>
      </c>
      <c r="J226" s="25" t="s">
        <v>154</v>
      </c>
      <c r="K226" s="25"/>
    </row>
    <row r="227" spans="1:11" ht="24" customHeight="1">
      <c r="A227" s="23" t="s">
        <v>104</v>
      </c>
      <c r="B227" s="24" t="s">
        <v>226</v>
      </c>
      <c r="C227" s="24" t="s">
        <v>227</v>
      </c>
      <c r="D227" s="24" t="s">
        <v>228</v>
      </c>
      <c r="E227" s="24" t="s">
        <v>229</v>
      </c>
      <c r="F227" s="24" t="s">
        <v>230</v>
      </c>
      <c r="G227" s="24"/>
      <c r="H227" s="24" t="s">
        <v>146</v>
      </c>
      <c r="I227" s="24" t="s">
        <v>801</v>
      </c>
      <c r="J227" s="25" t="s">
        <v>232</v>
      </c>
      <c r="K227" s="25" t="s">
        <v>233</v>
      </c>
    </row>
    <row r="228" spans="1:11" ht="24" customHeight="1">
      <c r="A228" s="23" t="s">
        <v>104</v>
      </c>
      <c r="B228" s="24" t="s">
        <v>234</v>
      </c>
      <c r="C228" s="24" t="s">
        <v>235</v>
      </c>
      <c r="D228" s="24" t="s">
        <v>236</v>
      </c>
      <c r="E228" s="24"/>
      <c r="F228" s="24" t="s">
        <v>152</v>
      </c>
      <c r="G228" s="24"/>
      <c r="H228" s="24" t="s">
        <v>146</v>
      </c>
      <c r="I228" s="24" t="s">
        <v>800</v>
      </c>
      <c r="J228" s="25" t="s">
        <v>154</v>
      </c>
      <c r="K228" s="25"/>
    </row>
    <row r="229" spans="1:11" ht="36">
      <c r="A229" s="23" t="s">
        <v>104</v>
      </c>
      <c r="B229" s="24" t="s">
        <v>238</v>
      </c>
      <c r="C229" s="24" t="s">
        <v>239</v>
      </c>
      <c r="D229" s="24" t="s">
        <v>240</v>
      </c>
      <c r="E229" s="24" t="s">
        <v>241</v>
      </c>
      <c r="F229" s="24" t="s">
        <v>218</v>
      </c>
      <c r="G229" s="24"/>
      <c r="H229" s="24" t="s">
        <v>146</v>
      </c>
      <c r="I229" s="24" t="s">
        <v>242</v>
      </c>
      <c r="J229" s="25" t="s">
        <v>220</v>
      </c>
      <c r="K229" s="25" t="s">
        <v>243</v>
      </c>
    </row>
    <row r="230" spans="1:11" ht="24" customHeight="1">
      <c r="A230" s="23" t="s">
        <v>104</v>
      </c>
      <c r="B230" s="24" t="s">
        <v>244</v>
      </c>
      <c r="C230" s="24" t="s">
        <v>245</v>
      </c>
      <c r="D230" s="24" t="s">
        <v>246</v>
      </c>
      <c r="E230" s="24"/>
      <c r="F230" s="24" t="s">
        <v>247</v>
      </c>
      <c r="G230" s="24"/>
      <c r="H230" s="24" t="s">
        <v>146</v>
      </c>
      <c r="I230" s="24" t="s">
        <v>248</v>
      </c>
      <c r="J230" s="25" t="s">
        <v>249</v>
      </c>
      <c r="K230" s="25"/>
    </row>
    <row r="231" spans="1:11" ht="36">
      <c r="A231" s="23" t="s">
        <v>104</v>
      </c>
      <c r="B231" s="24" t="s">
        <v>250</v>
      </c>
      <c r="C231" s="24" t="s">
        <v>251</v>
      </c>
      <c r="D231" s="24" t="s">
        <v>252</v>
      </c>
      <c r="E231" s="24" t="s">
        <v>253</v>
      </c>
      <c r="F231" s="24" t="s">
        <v>254</v>
      </c>
      <c r="G231" s="24"/>
      <c r="H231" s="24" t="s">
        <v>146</v>
      </c>
      <c r="I231" s="24" t="s">
        <v>23</v>
      </c>
      <c r="J231" s="25" t="s">
        <v>256</v>
      </c>
      <c r="K231" s="25" t="s">
        <v>257</v>
      </c>
    </row>
    <row r="232" spans="1:11" ht="24" customHeight="1">
      <c r="A232" s="23" t="s">
        <v>104</v>
      </c>
      <c r="B232" s="24" t="s">
        <v>258</v>
      </c>
      <c r="C232" s="24" t="s">
        <v>259</v>
      </c>
      <c r="D232" s="24" t="s">
        <v>260</v>
      </c>
      <c r="E232" s="24"/>
      <c r="F232" s="24" t="s">
        <v>261</v>
      </c>
      <c r="G232" s="24"/>
      <c r="H232" s="24" t="s">
        <v>146</v>
      </c>
      <c r="I232" s="24" t="s">
        <v>670</v>
      </c>
      <c r="J232" s="25" t="s">
        <v>263</v>
      </c>
      <c r="K232" s="25"/>
    </row>
    <row r="233" spans="1:11" ht="60">
      <c r="A233" s="23" t="s">
        <v>104</v>
      </c>
      <c r="B233" s="24" t="s">
        <v>264</v>
      </c>
      <c r="C233" s="24" t="s">
        <v>265</v>
      </c>
      <c r="D233" s="24" t="s">
        <v>266</v>
      </c>
      <c r="E233" s="24" t="s">
        <v>267</v>
      </c>
      <c r="F233" s="24" t="s">
        <v>268</v>
      </c>
      <c r="G233" s="24"/>
      <c r="H233" s="24" t="s">
        <v>146</v>
      </c>
      <c r="I233" s="24" t="s">
        <v>802</v>
      </c>
      <c r="J233" s="25" t="s">
        <v>270</v>
      </c>
      <c r="K233" s="25" t="s">
        <v>271</v>
      </c>
    </row>
    <row r="234" spans="1:11" ht="24" customHeight="1">
      <c r="A234" s="23" t="s">
        <v>104</v>
      </c>
      <c r="B234" s="24" t="s">
        <v>272</v>
      </c>
      <c r="C234" s="24" t="s">
        <v>273</v>
      </c>
      <c r="D234" s="24" t="s">
        <v>274</v>
      </c>
      <c r="E234" s="24"/>
      <c r="F234" s="24" t="s">
        <v>152</v>
      </c>
      <c r="G234" s="24"/>
      <c r="H234" s="24" t="s">
        <v>146</v>
      </c>
      <c r="I234" s="24" t="s">
        <v>803</v>
      </c>
      <c r="J234" s="25" t="s">
        <v>154</v>
      </c>
      <c r="K234" s="25"/>
    </row>
    <row r="235" spans="1:11" ht="24" customHeight="1">
      <c r="A235" s="23" t="s">
        <v>104</v>
      </c>
      <c r="B235" s="24" t="s">
        <v>288</v>
      </c>
      <c r="C235" s="24" t="s">
        <v>289</v>
      </c>
      <c r="D235" s="24" t="s">
        <v>290</v>
      </c>
      <c r="E235" s="24" t="s">
        <v>291</v>
      </c>
      <c r="F235" s="24" t="s">
        <v>292</v>
      </c>
      <c r="G235" s="24"/>
      <c r="H235" s="24" t="s">
        <v>146</v>
      </c>
      <c r="I235" s="24">
        <v>12.026</v>
      </c>
      <c r="J235" s="25" t="s">
        <v>293</v>
      </c>
      <c r="K235" s="25" t="s">
        <v>294</v>
      </c>
    </row>
    <row r="236" spans="1:11" ht="24" customHeight="1">
      <c r="A236" s="23" t="s">
        <v>104</v>
      </c>
      <c r="B236" s="24" t="s">
        <v>295</v>
      </c>
      <c r="C236" s="24" t="s">
        <v>296</v>
      </c>
      <c r="D236" s="24" t="s">
        <v>297</v>
      </c>
      <c r="E236" s="24"/>
      <c r="F236" s="24" t="s">
        <v>189</v>
      </c>
      <c r="G236" s="24"/>
      <c r="H236" s="24" t="s">
        <v>146</v>
      </c>
      <c r="I236" s="24" t="s">
        <v>298</v>
      </c>
      <c r="J236" s="25" t="s">
        <v>191</v>
      </c>
      <c r="K236" s="25"/>
    </row>
    <row r="237" spans="1:11" ht="36">
      <c r="A237" s="23" t="s">
        <v>104</v>
      </c>
      <c r="B237" s="24" t="s">
        <v>299</v>
      </c>
      <c r="C237" s="24" t="s">
        <v>300</v>
      </c>
      <c r="D237" s="24" t="s">
        <v>301</v>
      </c>
      <c r="E237" s="24" t="s">
        <v>302</v>
      </c>
      <c r="F237" s="24" t="s">
        <v>218</v>
      </c>
      <c r="G237" s="24"/>
      <c r="H237" s="24" t="s">
        <v>146</v>
      </c>
      <c r="I237" s="24" t="s">
        <v>804</v>
      </c>
      <c r="J237" s="25" t="s">
        <v>220</v>
      </c>
      <c r="K237" s="25" t="s">
        <v>304</v>
      </c>
    </row>
    <row r="238" spans="1:11" ht="24" customHeight="1">
      <c r="A238" s="23" t="s">
        <v>104</v>
      </c>
      <c r="B238" s="24" t="s">
        <v>305</v>
      </c>
      <c r="C238" s="24" t="s">
        <v>306</v>
      </c>
      <c r="D238" s="24" t="s">
        <v>307</v>
      </c>
      <c r="E238" s="24"/>
      <c r="F238" s="24" t="s">
        <v>308</v>
      </c>
      <c r="G238" s="24"/>
      <c r="H238" s="24" t="s">
        <v>146</v>
      </c>
      <c r="I238" s="24" t="s">
        <v>805</v>
      </c>
      <c r="J238" s="25" t="s">
        <v>310</v>
      </c>
      <c r="K238" s="25"/>
    </row>
    <row r="239" spans="1:11" ht="24">
      <c r="A239" s="23" t="s">
        <v>104</v>
      </c>
      <c r="B239" s="24" t="s">
        <v>678</v>
      </c>
      <c r="C239" s="24" t="s">
        <v>679</v>
      </c>
      <c r="D239" s="24" t="s">
        <v>680</v>
      </c>
      <c r="E239" s="24" t="s">
        <v>681</v>
      </c>
      <c r="F239" s="24" t="s">
        <v>254</v>
      </c>
      <c r="G239" s="24"/>
      <c r="H239" s="24" t="s">
        <v>146</v>
      </c>
      <c r="I239" s="24" t="s">
        <v>806</v>
      </c>
      <c r="J239" s="25" t="s">
        <v>256</v>
      </c>
      <c r="K239" s="25" t="s">
        <v>682</v>
      </c>
    </row>
    <row r="240" spans="1:11" ht="24" customHeight="1">
      <c r="A240" s="23" t="s">
        <v>104</v>
      </c>
      <c r="B240" s="24" t="s">
        <v>683</v>
      </c>
      <c r="C240" s="24" t="s">
        <v>684</v>
      </c>
      <c r="D240" s="24" t="s">
        <v>685</v>
      </c>
      <c r="E240" s="24"/>
      <c r="F240" s="24" t="s">
        <v>152</v>
      </c>
      <c r="G240" s="24"/>
      <c r="H240" s="24" t="s">
        <v>146</v>
      </c>
      <c r="I240" s="24" t="s">
        <v>807</v>
      </c>
      <c r="J240" s="25" t="s">
        <v>154</v>
      </c>
      <c r="K240" s="25"/>
    </row>
    <row r="241" spans="1:11" ht="24" customHeight="1">
      <c r="A241" s="23" t="s">
        <v>104</v>
      </c>
      <c r="B241" s="24" t="s">
        <v>311</v>
      </c>
      <c r="C241" s="24" t="s">
        <v>312</v>
      </c>
      <c r="D241" s="24" t="s">
        <v>313</v>
      </c>
      <c r="E241" s="24" t="s">
        <v>314</v>
      </c>
      <c r="F241" s="24" t="s">
        <v>145</v>
      </c>
      <c r="G241" s="24"/>
      <c r="H241" s="24" t="s">
        <v>146</v>
      </c>
      <c r="I241" s="24">
        <v>15</v>
      </c>
      <c r="J241" s="25" t="s">
        <v>315</v>
      </c>
      <c r="K241" s="25" t="s">
        <v>316</v>
      </c>
    </row>
    <row r="242" spans="1:11" ht="24" customHeight="1">
      <c r="A242" s="23" t="s">
        <v>104</v>
      </c>
      <c r="B242" s="24" t="s">
        <v>317</v>
      </c>
      <c r="C242" s="24" t="s">
        <v>318</v>
      </c>
      <c r="D242" s="24" t="s">
        <v>319</v>
      </c>
      <c r="E242" s="24"/>
      <c r="F242" s="24" t="s">
        <v>152</v>
      </c>
      <c r="G242" s="24"/>
      <c r="H242" s="24" t="s">
        <v>146</v>
      </c>
      <c r="I242" s="24" t="s">
        <v>798</v>
      </c>
      <c r="J242" s="25" t="s">
        <v>154</v>
      </c>
      <c r="K242" s="25"/>
    </row>
    <row r="243" spans="1:11" ht="24" customHeight="1">
      <c r="A243" s="23" t="s">
        <v>104</v>
      </c>
      <c r="B243" s="24" t="s">
        <v>321</v>
      </c>
      <c r="C243" s="24" t="s">
        <v>322</v>
      </c>
      <c r="D243" s="24" t="s">
        <v>323</v>
      </c>
      <c r="E243" s="24" t="s">
        <v>324</v>
      </c>
      <c r="F243" s="24" t="s">
        <v>285</v>
      </c>
      <c r="G243" s="24"/>
      <c r="H243" s="24" t="s">
        <v>146</v>
      </c>
      <c r="I243" s="24" t="s">
        <v>808</v>
      </c>
      <c r="J243" s="25" t="s">
        <v>287</v>
      </c>
      <c r="K243" s="25" t="s">
        <v>326</v>
      </c>
    </row>
    <row r="244" spans="1:11" ht="24" customHeight="1">
      <c r="A244" s="23" t="s">
        <v>104</v>
      </c>
      <c r="B244" s="24" t="s">
        <v>327</v>
      </c>
      <c r="C244" s="24" t="s">
        <v>328</v>
      </c>
      <c r="D244" s="24" t="s">
        <v>329</v>
      </c>
      <c r="E244" s="24"/>
      <c r="F244" s="24" t="s">
        <v>330</v>
      </c>
      <c r="G244" s="24"/>
      <c r="H244" s="24" t="s">
        <v>146</v>
      </c>
      <c r="I244" s="24" t="s">
        <v>809</v>
      </c>
      <c r="J244" s="25" t="s">
        <v>332</v>
      </c>
      <c r="K244" s="25"/>
    </row>
    <row r="245" spans="1:11" ht="24" customHeight="1">
      <c r="A245" s="23" t="s">
        <v>104</v>
      </c>
      <c r="B245" s="24" t="s">
        <v>333</v>
      </c>
      <c r="C245" s="24" t="s">
        <v>334</v>
      </c>
      <c r="D245" s="24" t="s">
        <v>335</v>
      </c>
      <c r="E245" s="24" t="s">
        <v>336</v>
      </c>
      <c r="F245" s="24" t="s">
        <v>285</v>
      </c>
      <c r="G245" s="24"/>
      <c r="H245" s="24" t="s">
        <v>146</v>
      </c>
      <c r="I245" s="24">
        <v>2090571</v>
      </c>
      <c r="J245" s="25" t="s">
        <v>287</v>
      </c>
      <c r="K245" s="25" t="s">
        <v>337</v>
      </c>
    </row>
    <row r="246" spans="1:11" ht="24" customHeight="1">
      <c r="A246" s="23" t="s">
        <v>104</v>
      </c>
      <c r="B246" s="24" t="s">
        <v>338</v>
      </c>
      <c r="C246" s="24" t="s">
        <v>339</v>
      </c>
      <c r="D246" s="24" t="s">
        <v>340</v>
      </c>
      <c r="E246" s="24"/>
      <c r="F246" s="24" t="s">
        <v>330</v>
      </c>
      <c r="G246" s="24"/>
      <c r="H246" s="24" t="s">
        <v>146</v>
      </c>
      <c r="I246" s="24" t="s">
        <v>809</v>
      </c>
      <c r="J246" s="25" t="s">
        <v>332</v>
      </c>
      <c r="K246" s="25"/>
    </row>
    <row r="247" spans="1:11" ht="24" customHeight="1">
      <c r="A247" s="23" t="s">
        <v>104</v>
      </c>
      <c r="B247" s="24" t="s">
        <v>341</v>
      </c>
      <c r="C247" s="24" t="s">
        <v>342</v>
      </c>
      <c r="D247" s="24" t="s">
        <v>343</v>
      </c>
      <c r="E247" s="24" t="s">
        <v>344</v>
      </c>
      <c r="F247" s="24" t="s">
        <v>182</v>
      </c>
      <c r="G247" s="24"/>
      <c r="H247" s="24" t="s">
        <v>146</v>
      </c>
      <c r="I247" s="24">
        <v>77</v>
      </c>
      <c r="J247" s="25" t="s">
        <v>184</v>
      </c>
      <c r="K247" s="25" t="s">
        <v>345</v>
      </c>
    </row>
    <row r="248" spans="1:11" ht="24" customHeight="1">
      <c r="A248" s="23" t="s">
        <v>104</v>
      </c>
      <c r="B248" s="24" t="s">
        <v>346</v>
      </c>
      <c r="C248" s="24" t="s">
        <v>347</v>
      </c>
      <c r="D248" s="24" t="s">
        <v>348</v>
      </c>
      <c r="E248" s="24"/>
      <c r="F248" s="24" t="s">
        <v>285</v>
      </c>
      <c r="G248" s="24"/>
      <c r="H248" s="24" t="s">
        <v>146</v>
      </c>
      <c r="I248" s="24" t="s">
        <v>810</v>
      </c>
      <c r="J248" s="25" t="s">
        <v>287</v>
      </c>
      <c r="K248" s="25"/>
    </row>
    <row r="249" spans="1:11" ht="36">
      <c r="A249" s="23" t="s">
        <v>104</v>
      </c>
      <c r="B249" s="24" t="s">
        <v>349</v>
      </c>
      <c r="C249" s="24" t="s">
        <v>350</v>
      </c>
      <c r="D249" s="24" t="s">
        <v>351</v>
      </c>
      <c r="E249" s="24" t="s">
        <v>352</v>
      </c>
      <c r="F249" s="24" t="s">
        <v>218</v>
      </c>
      <c r="G249" s="24"/>
      <c r="H249" s="24" t="s">
        <v>146</v>
      </c>
      <c r="I249" s="24" t="s">
        <v>811</v>
      </c>
      <c r="J249" s="25" t="s">
        <v>220</v>
      </c>
      <c r="K249" s="25" t="s">
        <v>354</v>
      </c>
    </row>
    <row r="250" spans="1:11" ht="24" customHeight="1">
      <c r="A250" s="23" t="s">
        <v>104</v>
      </c>
      <c r="B250" s="24" t="s">
        <v>355</v>
      </c>
      <c r="C250" s="24" t="s">
        <v>356</v>
      </c>
      <c r="D250" s="24" t="s">
        <v>357</v>
      </c>
      <c r="E250" s="24"/>
      <c r="F250" s="24" t="s">
        <v>152</v>
      </c>
      <c r="G250" s="24"/>
      <c r="H250" s="24" t="s">
        <v>146</v>
      </c>
      <c r="I250" s="24" t="s">
        <v>810</v>
      </c>
      <c r="J250" s="25" t="s">
        <v>154</v>
      </c>
      <c r="K250" s="25"/>
    </row>
    <row r="251" spans="1:11" ht="36">
      <c r="A251" s="23" t="s">
        <v>104</v>
      </c>
      <c r="B251" s="24" t="s">
        <v>358</v>
      </c>
      <c r="C251" s="24" t="s">
        <v>359</v>
      </c>
      <c r="D251" s="24" t="s">
        <v>360</v>
      </c>
      <c r="E251" s="24" t="s">
        <v>361</v>
      </c>
      <c r="F251" s="24" t="s">
        <v>218</v>
      </c>
      <c r="G251" s="24"/>
      <c r="H251" s="24" t="s">
        <v>146</v>
      </c>
      <c r="I251" s="24">
        <v>770</v>
      </c>
      <c r="J251" s="25" t="s">
        <v>220</v>
      </c>
      <c r="K251" s="25" t="s">
        <v>362</v>
      </c>
    </row>
    <row r="252" spans="1:11" ht="24" customHeight="1">
      <c r="A252" s="23" t="s">
        <v>104</v>
      </c>
      <c r="B252" s="24" t="s">
        <v>363</v>
      </c>
      <c r="C252" s="24" t="s">
        <v>364</v>
      </c>
      <c r="D252" s="24" t="s">
        <v>365</v>
      </c>
      <c r="E252" s="24"/>
      <c r="F252" s="24" t="s">
        <v>152</v>
      </c>
      <c r="G252" s="24"/>
      <c r="H252" s="24" t="s">
        <v>146</v>
      </c>
      <c r="I252" s="24" t="s">
        <v>810</v>
      </c>
      <c r="J252" s="25" t="s">
        <v>154</v>
      </c>
      <c r="K252" s="25"/>
    </row>
    <row r="253" spans="1:11" ht="36">
      <c r="A253" s="23" t="s">
        <v>104</v>
      </c>
      <c r="B253" s="24" t="s">
        <v>366</v>
      </c>
      <c r="C253" s="24" t="s">
        <v>367</v>
      </c>
      <c r="D253" s="24" t="s">
        <v>368</v>
      </c>
      <c r="E253" s="24" t="s">
        <v>369</v>
      </c>
      <c r="F253" s="24" t="s">
        <v>218</v>
      </c>
      <c r="G253" s="24"/>
      <c r="H253" s="24" t="s">
        <v>146</v>
      </c>
      <c r="I253" s="24">
        <v>777</v>
      </c>
      <c r="J253" s="25" t="s">
        <v>220</v>
      </c>
      <c r="K253" s="25" t="s">
        <v>370</v>
      </c>
    </row>
    <row r="254" spans="1:11" ht="24" customHeight="1">
      <c r="A254" s="23" t="s">
        <v>104</v>
      </c>
      <c r="B254" s="24" t="s">
        <v>371</v>
      </c>
      <c r="C254" s="24" t="s">
        <v>372</v>
      </c>
      <c r="D254" s="24" t="s">
        <v>373</v>
      </c>
      <c r="E254" s="24"/>
      <c r="F254" s="24" t="s">
        <v>152</v>
      </c>
      <c r="G254" s="24"/>
      <c r="H254" s="24" t="s">
        <v>146</v>
      </c>
      <c r="I254" s="24" t="s">
        <v>810</v>
      </c>
      <c r="J254" s="25" t="s">
        <v>154</v>
      </c>
      <c r="K254" s="25"/>
    </row>
    <row r="255" spans="1:11" ht="24" customHeight="1">
      <c r="A255" s="23" t="s">
        <v>104</v>
      </c>
      <c r="B255" s="24" t="s">
        <v>375</v>
      </c>
      <c r="C255" s="24" t="s">
        <v>376</v>
      </c>
      <c r="D255" s="24" t="s">
        <v>377</v>
      </c>
      <c r="E255" s="24" t="s">
        <v>378</v>
      </c>
      <c r="F255" s="24" t="s">
        <v>254</v>
      </c>
      <c r="G255" s="24"/>
      <c r="H255" s="24" t="s">
        <v>146</v>
      </c>
      <c r="I255" s="24" t="s">
        <v>812</v>
      </c>
      <c r="J255" s="25" t="s">
        <v>256</v>
      </c>
      <c r="K255" s="25" t="s">
        <v>380</v>
      </c>
    </row>
    <row r="256" spans="1:11" ht="24" customHeight="1">
      <c r="A256" s="23" t="s">
        <v>104</v>
      </c>
      <c r="B256" s="24" t="s">
        <v>381</v>
      </c>
      <c r="C256" s="24" t="s">
        <v>382</v>
      </c>
      <c r="D256" s="24" t="s">
        <v>383</v>
      </c>
      <c r="E256" s="24"/>
      <c r="F256" s="24" t="s">
        <v>152</v>
      </c>
      <c r="G256" s="24"/>
      <c r="H256" s="24" t="s">
        <v>146</v>
      </c>
      <c r="I256" s="24" t="s">
        <v>810</v>
      </c>
      <c r="J256" s="25" t="s">
        <v>154</v>
      </c>
      <c r="K256" s="25"/>
    </row>
    <row r="257" spans="1:11" ht="48">
      <c r="A257" s="23" t="s">
        <v>104</v>
      </c>
      <c r="B257" s="24" t="s">
        <v>384</v>
      </c>
      <c r="C257" s="24" t="s">
        <v>385</v>
      </c>
      <c r="D257" s="24" t="s">
        <v>386</v>
      </c>
      <c r="E257" s="24" t="s">
        <v>387</v>
      </c>
      <c r="F257" s="24" t="s">
        <v>285</v>
      </c>
      <c r="G257" s="24"/>
      <c r="H257" s="24" t="s">
        <v>146</v>
      </c>
      <c r="I257" s="24">
        <v>6770177</v>
      </c>
      <c r="J257" s="25" t="s">
        <v>287</v>
      </c>
      <c r="K257" s="25" t="s">
        <v>388</v>
      </c>
    </row>
    <row r="258" spans="1:11" ht="24" customHeight="1">
      <c r="A258" s="23" t="s">
        <v>104</v>
      </c>
      <c r="B258" s="24" t="s">
        <v>389</v>
      </c>
      <c r="C258" s="24" t="s">
        <v>390</v>
      </c>
      <c r="D258" s="24" t="s">
        <v>391</v>
      </c>
      <c r="E258" s="24"/>
      <c r="F258" s="24" t="s">
        <v>392</v>
      </c>
      <c r="G258" s="24"/>
      <c r="H258" s="24" t="s">
        <v>146</v>
      </c>
      <c r="I258" s="24" t="s">
        <v>813</v>
      </c>
      <c r="J258" s="25" t="s">
        <v>394</v>
      </c>
      <c r="K258" s="25"/>
    </row>
    <row r="259" spans="1:11" ht="24" customHeight="1">
      <c r="A259" s="23" t="s">
        <v>104</v>
      </c>
      <c r="B259" s="24" t="s">
        <v>402</v>
      </c>
      <c r="C259" s="24" t="s">
        <v>403</v>
      </c>
      <c r="D259" s="24" t="s">
        <v>404</v>
      </c>
      <c r="E259" s="24" t="s">
        <v>405</v>
      </c>
      <c r="F259" s="24" t="s">
        <v>230</v>
      </c>
      <c r="G259" s="24"/>
      <c r="H259" s="24" t="s">
        <v>146</v>
      </c>
      <c r="I259" s="24">
        <v>77100</v>
      </c>
      <c r="J259" s="25" t="s">
        <v>232</v>
      </c>
      <c r="K259" s="25" t="s">
        <v>406</v>
      </c>
    </row>
    <row r="260" spans="1:11" ht="24" customHeight="1">
      <c r="A260" s="23" t="s">
        <v>104</v>
      </c>
      <c r="B260" s="24" t="s">
        <v>407</v>
      </c>
      <c r="C260" s="24" t="s">
        <v>408</v>
      </c>
      <c r="D260" s="24" t="s">
        <v>409</v>
      </c>
      <c r="E260" s="24"/>
      <c r="F260" s="24" t="s">
        <v>152</v>
      </c>
      <c r="G260" s="24"/>
      <c r="H260" s="24" t="s">
        <v>146</v>
      </c>
      <c r="I260" s="24" t="s">
        <v>814</v>
      </c>
      <c r="J260" s="25" t="s">
        <v>154</v>
      </c>
      <c r="K260" s="25"/>
    </row>
    <row r="261" spans="1:11" ht="48">
      <c r="A261" s="23" t="s">
        <v>104</v>
      </c>
      <c r="B261" s="24" t="s">
        <v>411</v>
      </c>
      <c r="C261" s="24" t="s">
        <v>412</v>
      </c>
      <c r="D261" s="24" t="s">
        <v>411</v>
      </c>
      <c r="E261" s="24" t="s">
        <v>413</v>
      </c>
      <c r="F261" s="24" t="s">
        <v>254</v>
      </c>
      <c r="G261" s="24"/>
      <c r="H261" s="24" t="s">
        <v>146</v>
      </c>
      <c r="I261" s="24" t="s">
        <v>815</v>
      </c>
      <c r="J261" s="25" t="s">
        <v>256</v>
      </c>
      <c r="K261" s="25" t="s">
        <v>415</v>
      </c>
    </row>
    <row r="262" spans="1:11" ht="24" customHeight="1">
      <c r="A262" s="23" t="s">
        <v>104</v>
      </c>
      <c r="B262" s="24" t="s">
        <v>416</v>
      </c>
      <c r="C262" s="24" t="s">
        <v>417</v>
      </c>
      <c r="D262" s="24" t="s">
        <v>418</v>
      </c>
      <c r="E262" s="24"/>
      <c r="F262" s="24" t="s">
        <v>152</v>
      </c>
      <c r="G262" s="24"/>
      <c r="H262" s="24" t="s">
        <v>146</v>
      </c>
      <c r="I262" s="24" t="s">
        <v>816</v>
      </c>
      <c r="J262" s="25" t="s">
        <v>154</v>
      </c>
      <c r="K262" s="25"/>
    </row>
    <row r="263" spans="1:11" ht="24" customHeight="1">
      <c r="A263" s="23" t="s">
        <v>104</v>
      </c>
      <c r="B263" s="24" t="s">
        <v>420</v>
      </c>
      <c r="C263" s="24" t="s">
        <v>421</v>
      </c>
      <c r="D263" s="24" t="s">
        <v>420</v>
      </c>
      <c r="E263" s="24" t="s">
        <v>422</v>
      </c>
      <c r="F263" s="24" t="s">
        <v>398</v>
      </c>
      <c r="G263" s="24"/>
      <c r="H263" s="24" t="s">
        <v>146</v>
      </c>
      <c r="I263" s="24" t="s">
        <v>423</v>
      </c>
      <c r="J263" s="25" t="s">
        <v>400</v>
      </c>
      <c r="K263" s="25" t="s">
        <v>424</v>
      </c>
    </row>
    <row r="264" spans="1:11" ht="48">
      <c r="A264" s="23" t="s">
        <v>104</v>
      </c>
      <c r="B264" s="24" t="s">
        <v>425</v>
      </c>
      <c r="C264" s="24" t="s">
        <v>426</v>
      </c>
      <c r="D264" s="24" t="s">
        <v>427</v>
      </c>
      <c r="E264" s="24" t="s">
        <v>428</v>
      </c>
      <c r="F264" s="24" t="s">
        <v>182</v>
      </c>
      <c r="G264" s="24"/>
      <c r="H264" s="24" t="s">
        <v>146</v>
      </c>
      <c r="I264" s="24">
        <v>76</v>
      </c>
      <c r="J264" s="25" t="s">
        <v>184</v>
      </c>
      <c r="K264" s="25" t="s">
        <v>429</v>
      </c>
    </row>
    <row r="265" spans="1:11" ht="24" customHeight="1">
      <c r="A265" s="23" t="s">
        <v>104</v>
      </c>
      <c r="B265" s="24" t="s">
        <v>430</v>
      </c>
      <c r="C265" s="24" t="s">
        <v>431</v>
      </c>
      <c r="D265" s="24" t="s">
        <v>432</v>
      </c>
      <c r="E265" s="24"/>
      <c r="F265" s="24" t="s">
        <v>200</v>
      </c>
      <c r="G265" s="24"/>
      <c r="H265" s="24" t="s">
        <v>146</v>
      </c>
      <c r="I265" s="24" t="s">
        <v>700</v>
      </c>
      <c r="J265" s="25" t="s">
        <v>201</v>
      </c>
      <c r="K265" s="25"/>
    </row>
    <row r="266" spans="1:11" ht="24">
      <c r="A266" s="23" t="s">
        <v>104</v>
      </c>
      <c r="B266" s="24" t="s">
        <v>433</v>
      </c>
      <c r="C266" s="24" t="s">
        <v>434</v>
      </c>
      <c r="D266" s="24" t="s">
        <v>435</v>
      </c>
      <c r="E266" s="24" t="s">
        <v>436</v>
      </c>
      <c r="F266" s="24" t="s">
        <v>182</v>
      </c>
      <c r="G266" s="24"/>
      <c r="H266" s="24" t="s">
        <v>146</v>
      </c>
      <c r="I266" s="24">
        <v>62</v>
      </c>
      <c r="J266" s="25" t="s">
        <v>184</v>
      </c>
      <c r="K266" s="25" t="s">
        <v>437</v>
      </c>
    </row>
    <row r="267" spans="1:11" ht="24" customHeight="1">
      <c r="A267" s="23" t="s">
        <v>104</v>
      </c>
      <c r="B267" s="24" t="s">
        <v>438</v>
      </c>
      <c r="C267" s="24" t="s">
        <v>439</v>
      </c>
      <c r="D267" s="24" t="s">
        <v>440</v>
      </c>
      <c r="E267" s="24"/>
      <c r="F267" s="24" t="s">
        <v>152</v>
      </c>
      <c r="G267" s="24"/>
      <c r="H267" s="24" t="s">
        <v>146</v>
      </c>
      <c r="I267" s="24" t="s">
        <v>817</v>
      </c>
      <c r="J267" s="25" t="s">
        <v>154</v>
      </c>
      <c r="K267" s="25"/>
    </row>
    <row r="268" spans="1:11" ht="24">
      <c r="A268" s="23" t="s">
        <v>104</v>
      </c>
      <c r="B268" s="24" t="s">
        <v>442</v>
      </c>
      <c r="C268" s="24" t="s">
        <v>443</v>
      </c>
      <c r="D268" s="24" t="s">
        <v>444</v>
      </c>
      <c r="E268" s="24" t="s">
        <v>445</v>
      </c>
      <c r="F268" s="24" t="s">
        <v>218</v>
      </c>
      <c r="G268" s="24"/>
      <c r="H268" s="24" t="s">
        <v>146</v>
      </c>
      <c r="I268" s="24" t="s">
        <v>818</v>
      </c>
      <c r="J268" s="25" t="s">
        <v>220</v>
      </c>
      <c r="K268" s="25" t="s">
        <v>447</v>
      </c>
    </row>
    <row r="269" spans="1:11" ht="24" customHeight="1">
      <c r="A269" s="23" t="s">
        <v>104</v>
      </c>
      <c r="B269" s="24" t="s">
        <v>448</v>
      </c>
      <c r="C269" s="24" t="s">
        <v>449</v>
      </c>
      <c r="D269" s="24" t="s">
        <v>450</v>
      </c>
      <c r="E269" s="24"/>
      <c r="F269" s="24" t="s">
        <v>152</v>
      </c>
      <c r="G269" s="24"/>
      <c r="H269" s="24" t="s">
        <v>146</v>
      </c>
      <c r="I269" s="24" t="s">
        <v>819</v>
      </c>
      <c r="J269" s="25" t="s">
        <v>154</v>
      </c>
      <c r="K269" s="25"/>
    </row>
    <row r="270" spans="1:11" ht="24">
      <c r="A270" s="23" t="s">
        <v>104</v>
      </c>
      <c r="B270" s="24" t="s">
        <v>452</v>
      </c>
      <c r="C270" s="24" t="s">
        <v>453</v>
      </c>
      <c r="D270" s="24" t="s">
        <v>454</v>
      </c>
      <c r="E270" s="24" t="s">
        <v>455</v>
      </c>
      <c r="F270" s="24" t="s">
        <v>218</v>
      </c>
      <c r="G270" s="24"/>
      <c r="H270" s="24" t="s">
        <v>146</v>
      </c>
      <c r="I270" s="24" t="s">
        <v>820</v>
      </c>
      <c r="J270" s="25" t="s">
        <v>220</v>
      </c>
      <c r="K270" s="25" t="s">
        <v>457</v>
      </c>
    </row>
    <row r="271" spans="1:11" ht="24" customHeight="1">
      <c r="A271" s="23" t="s">
        <v>104</v>
      </c>
      <c r="B271" s="24" t="s">
        <v>458</v>
      </c>
      <c r="C271" s="24" t="s">
        <v>459</v>
      </c>
      <c r="D271" s="24" t="s">
        <v>460</v>
      </c>
      <c r="E271" s="24"/>
      <c r="F271" s="24" t="s">
        <v>152</v>
      </c>
      <c r="G271" s="24"/>
      <c r="H271" s="24" t="s">
        <v>146</v>
      </c>
      <c r="I271" s="24" t="s">
        <v>821</v>
      </c>
      <c r="J271" s="25" t="s">
        <v>154</v>
      </c>
      <c r="K271" s="25"/>
    </row>
    <row r="272" spans="1:11" ht="24">
      <c r="A272" s="23" t="s">
        <v>104</v>
      </c>
      <c r="B272" s="24" t="s">
        <v>462</v>
      </c>
      <c r="C272" s="24" t="s">
        <v>463</v>
      </c>
      <c r="D272" s="24" t="s">
        <v>464</v>
      </c>
      <c r="E272" s="24" t="s">
        <v>465</v>
      </c>
      <c r="F272" s="24" t="s">
        <v>170</v>
      </c>
      <c r="G272" s="24"/>
      <c r="H272" s="24" t="s">
        <v>146</v>
      </c>
      <c r="I272" s="24" t="s">
        <v>23</v>
      </c>
      <c r="J272" s="25" t="s">
        <v>172</v>
      </c>
      <c r="K272" s="25" t="s">
        <v>466</v>
      </c>
    </row>
    <row r="273" spans="1:11" ht="24" customHeight="1">
      <c r="A273" s="23" t="s">
        <v>104</v>
      </c>
      <c r="B273" s="24" t="s">
        <v>467</v>
      </c>
      <c r="C273" s="24" t="s">
        <v>468</v>
      </c>
      <c r="D273" s="24" t="s">
        <v>469</v>
      </c>
      <c r="E273" s="24"/>
      <c r="F273" s="24" t="s">
        <v>152</v>
      </c>
      <c r="G273" s="24"/>
      <c r="H273" s="24" t="s">
        <v>146</v>
      </c>
      <c r="I273" s="24" t="s">
        <v>822</v>
      </c>
      <c r="J273" s="25" t="s">
        <v>154</v>
      </c>
      <c r="K273" s="25"/>
    </row>
    <row r="274" spans="1:11" ht="36">
      <c r="A274" s="23" t="s">
        <v>104</v>
      </c>
      <c r="B274" s="24" t="s">
        <v>471</v>
      </c>
      <c r="C274" s="24" t="s">
        <v>472</v>
      </c>
      <c r="D274" s="24" t="s">
        <v>473</v>
      </c>
      <c r="E274" s="24" t="s">
        <v>474</v>
      </c>
      <c r="F274" s="24" t="s">
        <v>170</v>
      </c>
      <c r="G274" s="24"/>
      <c r="H274" s="24" t="s">
        <v>146</v>
      </c>
      <c r="I274" s="24" t="s">
        <v>23</v>
      </c>
      <c r="J274" s="25" t="s">
        <v>172</v>
      </c>
      <c r="K274" s="25" t="s">
        <v>475</v>
      </c>
    </row>
    <row r="275" spans="1:11" ht="24" customHeight="1">
      <c r="A275" s="23" t="s">
        <v>104</v>
      </c>
      <c r="B275" s="24" t="s">
        <v>476</v>
      </c>
      <c r="C275" s="24" t="s">
        <v>477</v>
      </c>
      <c r="D275" s="24" t="s">
        <v>478</v>
      </c>
      <c r="E275" s="24"/>
      <c r="F275" s="24" t="s">
        <v>152</v>
      </c>
      <c r="G275" s="24"/>
      <c r="H275" s="24" t="s">
        <v>146</v>
      </c>
      <c r="I275" s="24" t="s">
        <v>822</v>
      </c>
      <c r="J275" s="25" t="s">
        <v>154</v>
      </c>
      <c r="K275" s="25"/>
    </row>
    <row r="276" spans="1:11" ht="24" customHeight="1">
      <c r="A276" s="23" t="s">
        <v>104</v>
      </c>
      <c r="B276" s="24" t="s">
        <v>479</v>
      </c>
      <c r="C276" s="24" t="s">
        <v>480</v>
      </c>
      <c r="D276" s="24" t="s">
        <v>481</v>
      </c>
      <c r="E276" s="24" t="s">
        <v>482</v>
      </c>
      <c r="F276" s="24" t="s">
        <v>483</v>
      </c>
      <c r="G276" s="24"/>
      <c r="H276" s="24" t="s">
        <v>146</v>
      </c>
      <c r="I276" s="24" t="s">
        <v>23</v>
      </c>
      <c r="J276" s="25" t="s">
        <v>485</v>
      </c>
      <c r="K276" s="25" t="s">
        <v>486</v>
      </c>
    </row>
    <row r="277" spans="1:11" ht="24" customHeight="1">
      <c r="A277" s="23" t="s">
        <v>104</v>
      </c>
      <c r="B277" s="24" t="s">
        <v>487</v>
      </c>
      <c r="C277" s="24" t="s">
        <v>488</v>
      </c>
      <c r="D277" s="24" t="s">
        <v>489</v>
      </c>
      <c r="E277" s="24"/>
      <c r="F277" s="24" t="s">
        <v>392</v>
      </c>
      <c r="G277" s="24"/>
      <c r="H277" s="24" t="s">
        <v>146</v>
      </c>
      <c r="I277" s="24" t="s">
        <v>670</v>
      </c>
      <c r="J277" s="25" t="s">
        <v>394</v>
      </c>
      <c r="K277" s="25"/>
    </row>
    <row r="278" spans="1:11" ht="36">
      <c r="A278" s="23" t="s">
        <v>104</v>
      </c>
      <c r="B278" s="24" t="s">
        <v>491</v>
      </c>
      <c r="C278" s="24" t="s">
        <v>492</v>
      </c>
      <c r="D278" s="24" t="s">
        <v>493</v>
      </c>
      <c r="E278" s="24" t="s">
        <v>494</v>
      </c>
      <c r="F278" s="24" t="s">
        <v>182</v>
      </c>
      <c r="G278" s="24"/>
      <c r="H278" s="24" t="s">
        <v>146</v>
      </c>
      <c r="I278" s="24" t="s">
        <v>708</v>
      </c>
      <c r="J278" s="25" t="s">
        <v>184</v>
      </c>
      <c r="K278" s="25" t="s">
        <v>496</v>
      </c>
    </row>
    <row r="279" spans="1:11" ht="24" customHeight="1">
      <c r="A279" s="23" t="s">
        <v>104</v>
      </c>
      <c r="B279" s="24" t="s">
        <v>497</v>
      </c>
      <c r="C279" s="24" t="s">
        <v>498</v>
      </c>
      <c r="D279" s="24" t="s">
        <v>499</v>
      </c>
      <c r="E279" s="24"/>
      <c r="F279" s="24" t="s">
        <v>500</v>
      </c>
      <c r="G279" s="24"/>
      <c r="H279" s="24" t="s">
        <v>146</v>
      </c>
      <c r="I279" s="24" t="s">
        <v>709</v>
      </c>
      <c r="J279" s="25" t="s">
        <v>502</v>
      </c>
      <c r="K279" s="25"/>
    </row>
    <row r="280" spans="1:11" ht="36">
      <c r="A280" s="23" t="s">
        <v>104</v>
      </c>
      <c r="B280" s="24" t="s">
        <v>503</v>
      </c>
      <c r="C280" s="24" t="s">
        <v>504</v>
      </c>
      <c r="D280" s="24" t="s">
        <v>505</v>
      </c>
      <c r="E280" s="24" t="s">
        <v>506</v>
      </c>
      <c r="F280" s="24" t="s">
        <v>182</v>
      </c>
      <c r="G280" s="24"/>
      <c r="H280" s="24" t="s">
        <v>146</v>
      </c>
      <c r="I280" s="24" t="s">
        <v>708</v>
      </c>
      <c r="J280" s="25" t="s">
        <v>184</v>
      </c>
      <c r="K280" s="25" t="s">
        <v>507</v>
      </c>
    </row>
    <row r="281" spans="1:11" ht="24" customHeight="1">
      <c r="A281" s="23" t="s">
        <v>104</v>
      </c>
      <c r="B281" s="24" t="s">
        <v>508</v>
      </c>
      <c r="C281" s="24" t="s">
        <v>509</v>
      </c>
      <c r="D281" s="24" t="s">
        <v>510</v>
      </c>
      <c r="E281" s="24"/>
      <c r="F281" s="24" t="s">
        <v>500</v>
      </c>
      <c r="G281" s="24"/>
      <c r="H281" s="24" t="s">
        <v>146</v>
      </c>
      <c r="I281" s="24" t="s">
        <v>709</v>
      </c>
      <c r="J281" s="25" t="s">
        <v>502</v>
      </c>
      <c r="K281" s="25"/>
    </row>
    <row r="282" spans="1:11" ht="66.75">
      <c r="A282" s="23" t="s">
        <v>104</v>
      </c>
      <c r="B282" s="24" t="s">
        <v>511</v>
      </c>
      <c r="C282" s="24" t="s">
        <v>512</v>
      </c>
      <c r="D282" s="24" t="s">
        <v>513</v>
      </c>
      <c r="E282" s="24" t="s">
        <v>514</v>
      </c>
      <c r="F282" s="24" t="s">
        <v>268</v>
      </c>
      <c r="G282" s="24"/>
      <c r="H282" s="24" t="s">
        <v>146</v>
      </c>
      <c r="I282" s="24" t="s">
        <v>823</v>
      </c>
      <c r="J282" s="25" t="s">
        <v>270</v>
      </c>
      <c r="K282" s="25" t="s">
        <v>516</v>
      </c>
    </row>
    <row r="283" spans="1:11" ht="24" customHeight="1">
      <c r="A283" s="23" t="s">
        <v>104</v>
      </c>
      <c r="B283" s="24" t="s">
        <v>517</v>
      </c>
      <c r="C283" s="24" t="s">
        <v>518</v>
      </c>
      <c r="D283" s="24" t="s">
        <v>519</v>
      </c>
      <c r="E283" s="24"/>
      <c r="F283" s="24" t="s">
        <v>152</v>
      </c>
      <c r="G283" s="24"/>
      <c r="H283" s="24" t="s">
        <v>146</v>
      </c>
      <c r="I283" s="24" t="s">
        <v>824</v>
      </c>
      <c r="J283" s="25" t="s">
        <v>154</v>
      </c>
      <c r="K283" s="25"/>
    </row>
    <row r="284" spans="1:11" ht="96">
      <c r="A284" s="23" t="s">
        <v>104</v>
      </c>
      <c r="B284" s="24" t="s">
        <v>542</v>
      </c>
      <c r="C284" s="24" t="s">
        <v>542</v>
      </c>
      <c r="D284" s="24" t="s">
        <v>543</v>
      </c>
      <c r="E284" s="24" t="s">
        <v>544</v>
      </c>
      <c r="F284" s="24" t="s">
        <v>182</v>
      </c>
      <c r="G284" s="24"/>
      <c r="H284" s="24" t="s">
        <v>146</v>
      </c>
      <c r="I284" s="24" t="s">
        <v>825</v>
      </c>
      <c r="J284" s="25" t="s">
        <v>184</v>
      </c>
      <c r="K284" s="25" t="s">
        <v>546</v>
      </c>
    </row>
    <row r="285" spans="1:11" ht="24" customHeight="1">
      <c r="A285" s="23" t="s">
        <v>104</v>
      </c>
      <c r="B285" s="24" t="s">
        <v>547</v>
      </c>
      <c r="C285" s="24" t="s">
        <v>547</v>
      </c>
      <c r="D285" s="24" t="s">
        <v>548</v>
      </c>
      <c r="E285" s="24"/>
      <c r="F285" s="24" t="s">
        <v>549</v>
      </c>
      <c r="G285" s="24"/>
      <c r="H285" s="24" t="s">
        <v>146</v>
      </c>
      <c r="I285" s="24" t="s">
        <v>826</v>
      </c>
      <c r="J285" s="25" t="s">
        <v>550</v>
      </c>
      <c r="K285" s="25"/>
    </row>
    <row r="286" spans="1:11" ht="72">
      <c r="A286" s="23" t="s">
        <v>104</v>
      </c>
      <c r="B286" s="24" t="s">
        <v>551</v>
      </c>
      <c r="C286" s="24" t="s">
        <v>552</v>
      </c>
      <c r="D286" s="24" t="s">
        <v>553</v>
      </c>
      <c r="E286" s="24" t="s">
        <v>554</v>
      </c>
      <c r="F286" s="24" t="s">
        <v>254</v>
      </c>
      <c r="G286" s="24"/>
      <c r="H286" s="24" t="s">
        <v>146</v>
      </c>
      <c r="I286" s="24" t="s">
        <v>827</v>
      </c>
      <c r="J286" s="25" t="s">
        <v>256</v>
      </c>
      <c r="K286" s="25" t="s">
        <v>556</v>
      </c>
    </row>
    <row r="287" spans="1:11" ht="24" customHeight="1">
      <c r="A287" s="23" t="s">
        <v>104</v>
      </c>
      <c r="B287" s="24" t="s">
        <v>557</v>
      </c>
      <c r="C287" s="24" t="s">
        <v>558</v>
      </c>
      <c r="D287" s="24" t="s">
        <v>559</v>
      </c>
      <c r="E287" s="24"/>
      <c r="F287" s="24" t="s">
        <v>152</v>
      </c>
      <c r="G287" s="24"/>
      <c r="H287" s="24" t="s">
        <v>146</v>
      </c>
      <c r="I287" s="24" t="s">
        <v>828</v>
      </c>
      <c r="J287" s="25" t="s">
        <v>154</v>
      </c>
      <c r="K287" s="25"/>
    </row>
    <row r="288" spans="1:11" ht="48">
      <c r="A288" s="23" t="s">
        <v>104</v>
      </c>
      <c r="B288" s="24" t="s">
        <v>561</v>
      </c>
      <c r="C288" s="24" t="s">
        <v>562</v>
      </c>
      <c r="D288" s="24" t="s">
        <v>563</v>
      </c>
      <c r="E288" s="24" t="s">
        <v>564</v>
      </c>
      <c r="F288" s="24" t="s">
        <v>285</v>
      </c>
      <c r="G288" s="24"/>
      <c r="H288" s="24" t="s">
        <v>146</v>
      </c>
      <c r="I288" s="24">
        <v>1727430</v>
      </c>
      <c r="J288" s="25" t="s">
        <v>287</v>
      </c>
      <c r="K288" s="25" t="s">
        <v>565</v>
      </c>
    </row>
    <row r="289" spans="1:11" ht="24" customHeight="1">
      <c r="A289" s="23" t="s">
        <v>104</v>
      </c>
      <c r="B289" s="24" t="s">
        <v>566</v>
      </c>
      <c r="C289" s="24" t="s">
        <v>567</v>
      </c>
      <c r="D289" s="24" t="s">
        <v>568</v>
      </c>
      <c r="E289" s="24"/>
      <c r="F289" s="24" t="s">
        <v>330</v>
      </c>
      <c r="G289" s="24"/>
      <c r="H289" s="24" t="s">
        <v>146</v>
      </c>
      <c r="I289" s="24" t="s">
        <v>829</v>
      </c>
      <c r="J289" s="25" t="s">
        <v>332</v>
      </c>
      <c r="K289" s="25"/>
    </row>
    <row r="290" spans="1:11" ht="24" customHeight="1">
      <c r="A290" s="23" t="s">
        <v>104</v>
      </c>
      <c r="B290" s="24" t="s">
        <v>570</v>
      </c>
      <c r="C290" s="24" t="s">
        <v>571</v>
      </c>
      <c r="D290" s="24" t="s">
        <v>572</v>
      </c>
      <c r="E290" s="24" t="s">
        <v>573</v>
      </c>
      <c r="F290" s="24" t="s">
        <v>268</v>
      </c>
      <c r="G290" s="24"/>
      <c r="H290" s="24" t="s">
        <v>146</v>
      </c>
      <c r="I290" s="24" t="s">
        <v>795</v>
      </c>
      <c r="J290" s="25" t="s">
        <v>270</v>
      </c>
      <c r="K290" s="25" t="s">
        <v>575</v>
      </c>
    </row>
    <row r="291" spans="1:11" ht="24" customHeight="1">
      <c r="A291" s="23" t="s">
        <v>104</v>
      </c>
      <c r="B291" s="24" t="s">
        <v>576</v>
      </c>
      <c r="C291" s="24" t="s">
        <v>577</v>
      </c>
      <c r="D291" s="24" t="s">
        <v>578</v>
      </c>
      <c r="E291" s="24"/>
      <c r="F291" s="24" t="s">
        <v>152</v>
      </c>
      <c r="G291" s="24"/>
      <c r="H291" s="24" t="s">
        <v>146</v>
      </c>
      <c r="I291" s="24" t="s">
        <v>830</v>
      </c>
      <c r="J291" s="25" t="s">
        <v>154</v>
      </c>
      <c r="K291" s="25"/>
    </row>
    <row r="292" spans="1:11" ht="48">
      <c r="A292" s="23" t="s">
        <v>104</v>
      </c>
      <c r="B292" s="24" t="s">
        <v>580</v>
      </c>
      <c r="C292" s="24" t="s">
        <v>581</v>
      </c>
      <c r="D292" s="24" t="s">
        <v>582</v>
      </c>
      <c r="E292" s="24" t="s">
        <v>583</v>
      </c>
      <c r="F292" s="24" t="s">
        <v>285</v>
      </c>
      <c r="G292" s="24"/>
      <c r="H292" s="24" t="s">
        <v>146</v>
      </c>
      <c r="I292" s="24">
        <v>1727430</v>
      </c>
      <c r="J292" s="25" t="s">
        <v>287</v>
      </c>
      <c r="K292" s="25" t="s">
        <v>584</v>
      </c>
    </row>
    <row r="293" spans="1:11" ht="24" customHeight="1">
      <c r="A293" s="23" t="s">
        <v>104</v>
      </c>
      <c r="B293" s="24" t="s">
        <v>585</v>
      </c>
      <c r="C293" s="24" t="s">
        <v>586</v>
      </c>
      <c r="D293" s="24" t="s">
        <v>587</v>
      </c>
      <c r="E293" s="24"/>
      <c r="F293" s="24" t="s">
        <v>330</v>
      </c>
      <c r="G293" s="24"/>
      <c r="H293" s="24" t="s">
        <v>146</v>
      </c>
      <c r="I293" s="24" t="s">
        <v>829</v>
      </c>
      <c r="J293" s="25" t="s">
        <v>332</v>
      </c>
      <c r="K293" s="25"/>
    </row>
    <row r="294" spans="1:11" ht="24" customHeight="1">
      <c r="A294" s="23" t="s">
        <v>104</v>
      </c>
      <c r="B294" s="24" t="s">
        <v>588</v>
      </c>
      <c r="C294" s="24" t="s">
        <v>589</v>
      </c>
      <c r="D294" s="24" t="s">
        <v>590</v>
      </c>
      <c r="E294" s="24" t="s">
        <v>591</v>
      </c>
      <c r="F294" s="24" t="s">
        <v>268</v>
      </c>
      <c r="G294" s="24"/>
      <c r="H294" s="24" t="s">
        <v>146</v>
      </c>
      <c r="I294" s="24" t="s">
        <v>795</v>
      </c>
      <c r="J294" s="25" t="s">
        <v>270</v>
      </c>
      <c r="K294" s="25" t="s">
        <v>593</v>
      </c>
    </row>
    <row r="295" spans="1:11" ht="24" customHeight="1">
      <c r="A295" s="23" t="s">
        <v>104</v>
      </c>
      <c r="B295" s="24" t="s">
        <v>594</v>
      </c>
      <c r="C295" s="24" t="s">
        <v>595</v>
      </c>
      <c r="D295" s="24" t="s">
        <v>596</v>
      </c>
      <c r="E295" s="24"/>
      <c r="F295" s="24" t="s">
        <v>152</v>
      </c>
      <c r="G295" s="24"/>
      <c r="H295" s="24" t="s">
        <v>146</v>
      </c>
      <c r="I295" s="24" t="s">
        <v>830</v>
      </c>
      <c r="J295" s="25" t="s">
        <v>154</v>
      </c>
      <c r="K295" s="25"/>
    </row>
    <row r="296" spans="1:11" ht="24" customHeight="1">
      <c r="A296" s="23" t="s">
        <v>104</v>
      </c>
      <c r="B296" s="24" t="s">
        <v>597</v>
      </c>
      <c r="C296" s="24" t="s">
        <v>598</v>
      </c>
      <c r="D296" s="24" t="s">
        <v>599</v>
      </c>
      <c r="E296" s="24" t="s">
        <v>600</v>
      </c>
      <c r="F296" s="24" t="s">
        <v>218</v>
      </c>
      <c r="G296" s="24"/>
      <c r="H296" s="24" t="s">
        <v>146</v>
      </c>
      <c r="I296" s="24" t="s">
        <v>718</v>
      </c>
      <c r="J296" s="25" t="s">
        <v>220</v>
      </c>
      <c r="K296" s="25" t="s">
        <v>602</v>
      </c>
    </row>
    <row r="297" spans="1:11" ht="24" customHeight="1">
      <c r="A297" s="23" t="s">
        <v>104</v>
      </c>
      <c r="B297" s="24" t="s">
        <v>603</v>
      </c>
      <c r="C297" s="24" t="s">
        <v>604</v>
      </c>
      <c r="D297" s="24" t="s">
        <v>605</v>
      </c>
      <c r="E297" s="24"/>
      <c r="F297" s="24" t="s">
        <v>152</v>
      </c>
      <c r="G297" s="24"/>
      <c r="H297" s="24" t="s">
        <v>146</v>
      </c>
      <c r="I297" s="24" t="s">
        <v>719</v>
      </c>
      <c r="J297" s="25" t="s">
        <v>154</v>
      </c>
      <c r="K297" s="25"/>
    </row>
    <row r="298" spans="1:11" ht="24" customHeight="1">
      <c r="A298" s="23" t="s">
        <v>104</v>
      </c>
      <c r="B298" s="24" t="s">
        <v>607</v>
      </c>
      <c r="C298" s="24" t="s">
        <v>608</v>
      </c>
      <c r="D298" s="24" t="s">
        <v>609</v>
      </c>
      <c r="E298" s="24" t="s">
        <v>610</v>
      </c>
      <c r="F298" s="24" t="s">
        <v>218</v>
      </c>
      <c r="G298" s="24"/>
      <c r="H298" s="24" t="s">
        <v>146</v>
      </c>
      <c r="I298" s="24" t="s">
        <v>718</v>
      </c>
      <c r="J298" s="25" t="s">
        <v>220</v>
      </c>
      <c r="K298" s="25" t="s">
        <v>611</v>
      </c>
    </row>
    <row r="299" spans="1:11" ht="24" customHeight="1">
      <c r="A299" s="23" t="s">
        <v>104</v>
      </c>
      <c r="B299" s="24" t="s">
        <v>612</v>
      </c>
      <c r="C299" s="24" t="s">
        <v>613</v>
      </c>
      <c r="D299" s="24" t="s">
        <v>614</v>
      </c>
      <c r="E299" s="24"/>
      <c r="F299" s="24" t="s">
        <v>152</v>
      </c>
      <c r="G299" s="24"/>
      <c r="H299" s="24" t="s">
        <v>146</v>
      </c>
      <c r="I299" s="24" t="s">
        <v>719</v>
      </c>
      <c r="J299" s="25" t="s">
        <v>154</v>
      </c>
      <c r="K299" s="25"/>
    </row>
    <row r="300" spans="1:11" ht="48">
      <c r="A300" s="23" t="s">
        <v>104</v>
      </c>
      <c r="B300" s="24" t="s">
        <v>615</v>
      </c>
      <c r="C300" s="24" t="s">
        <v>616</v>
      </c>
      <c r="D300" s="24" t="s">
        <v>617</v>
      </c>
      <c r="E300" s="24" t="s">
        <v>618</v>
      </c>
      <c r="F300" s="24" t="s">
        <v>285</v>
      </c>
      <c r="G300" s="24"/>
      <c r="H300" s="24" t="s">
        <v>146</v>
      </c>
      <c r="I300" s="24" t="s">
        <v>23</v>
      </c>
      <c r="J300" s="25" t="s">
        <v>287</v>
      </c>
      <c r="K300" s="25" t="s">
        <v>620</v>
      </c>
    </row>
    <row r="301" spans="1:11" ht="24" customHeight="1">
      <c r="A301" s="23" t="s">
        <v>104</v>
      </c>
      <c r="B301" s="24" t="s">
        <v>621</v>
      </c>
      <c r="C301" s="24" t="s">
        <v>622</v>
      </c>
      <c r="D301" s="24" t="s">
        <v>623</v>
      </c>
      <c r="E301" s="24"/>
      <c r="F301" s="24" t="s">
        <v>392</v>
      </c>
      <c r="G301" s="24"/>
      <c r="H301" s="24" t="s">
        <v>146</v>
      </c>
      <c r="I301" s="24" t="s">
        <v>670</v>
      </c>
      <c r="J301" s="25" t="s">
        <v>394</v>
      </c>
      <c r="K301" s="25"/>
    </row>
    <row r="302" spans="1:11" ht="24" customHeight="1">
      <c r="A302" s="23" t="s">
        <v>104</v>
      </c>
      <c r="B302" s="24" t="s">
        <v>831</v>
      </c>
      <c r="C302" s="24" t="s">
        <v>832</v>
      </c>
      <c r="D302" s="24" t="s">
        <v>833</v>
      </c>
      <c r="E302" s="24" t="s">
        <v>834</v>
      </c>
      <c r="F302" s="24" t="s">
        <v>637</v>
      </c>
      <c r="G302" s="24"/>
      <c r="H302" s="24" t="s">
        <v>146</v>
      </c>
      <c r="I302" s="24" t="s">
        <v>835</v>
      </c>
      <c r="J302" s="25" t="s">
        <v>639</v>
      </c>
      <c r="K302" s="25" t="s">
        <v>836</v>
      </c>
    </row>
    <row r="303" spans="1:11" ht="24" customHeight="1">
      <c r="A303" s="23" t="s">
        <v>104</v>
      </c>
      <c r="B303" s="24" t="s">
        <v>837</v>
      </c>
      <c r="C303" s="24" t="s">
        <v>838</v>
      </c>
      <c r="D303" s="24" t="s">
        <v>839</v>
      </c>
      <c r="E303" s="24" t="s">
        <v>840</v>
      </c>
      <c r="F303" s="24" t="s">
        <v>629</v>
      </c>
      <c r="G303" s="24"/>
      <c r="H303" s="24" t="s">
        <v>146</v>
      </c>
      <c r="I303" s="24" t="s">
        <v>841</v>
      </c>
      <c r="J303" s="25" t="s">
        <v>631</v>
      </c>
      <c r="K303" s="25" t="s">
        <v>842</v>
      </c>
    </row>
    <row r="304" spans="1:11" ht="24" customHeight="1">
      <c r="A304" s="23" t="s">
        <v>104</v>
      </c>
      <c r="B304" s="24" t="s">
        <v>843</v>
      </c>
      <c r="C304" s="24" t="s">
        <v>844</v>
      </c>
      <c r="D304" s="24" t="s">
        <v>845</v>
      </c>
      <c r="E304" s="24" t="s">
        <v>846</v>
      </c>
      <c r="F304" s="24" t="s">
        <v>629</v>
      </c>
      <c r="G304" s="24"/>
      <c r="H304" s="24" t="s">
        <v>146</v>
      </c>
      <c r="I304" s="24" t="s">
        <v>841</v>
      </c>
      <c r="J304" s="25" t="s">
        <v>631</v>
      </c>
      <c r="K304" s="25" t="s">
        <v>847</v>
      </c>
    </row>
    <row r="305" spans="1:11" ht="24" customHeight="1">
      <c r="A305" s="23" t="s">
        <v>104</v>
      </c>
      <c r="B305" s="24" t="s">
        <v>848</v>
      </c>
      <c r="C305" s="24" t="s">
        <v>849</v>
      </c>
      <c r="D305" s="24" t="s">
        <v>850</v>
      </c>
      <c r="E305" s="24" t="s">
        <v>851</v>
      </c>
      <c r="F305" s="24" t="s">
        <v>629</v>
      </c>
      <c r="G305" s="24"/>
      <c r="H305" s="24" t="s">
        <v>146</v>
      </c>
      <c r="I305" s="24" t="s">
        <v>841</v>
      </c>
      <c r="J305" s="25" t="s">
        <v>631</v>
      </c>
      <c r="K305" s="25" t="s">
        <v>852</v>
      </c>
    </row>
    <row r="306" spans="1:11" ht="24" customHeight="1">
      <c r="A306" s="23" t="s">
        <v>104</v>
      </c>
      <c r="B306" s="24" t="s">
        <v>853</v>
      </c>
      <c r="C306" s="24" t="s">
        <v>854</v>
      </c>
      <c r="D306" s="24" t="s">
        <v>855</v>
      </c>
      <c r="E306" s="24" t="s">
        <v>856</v>
      </c>
      <c r="F306" s="24" t="s">
        <v>629</v>
      </c>
      <c r="G306" s="24"/>
      <c r="H306" s="24" t="s">
        <v>146</v>
      </c>
      <c r="I306" s="24" t="s">
        <v>835</v>
      </c>
      <c r="J306" s="25" t="s">
        <v>631</v>
      </c>
      <c r="K306" s="25" t="s">
        <v>857</v>
      </c>
    </row>
    <row r="307" spans="1:11" ht="24" customHeight="1">
      <c r="A307" s="23" t="s">
        <v>104</v>
      </c>
      <c r="B307" s="24" t="s">
        <v>858</v>
      </c>
      <c r="C307" s="24" t="s">
        <v>859</v>
      </c>
      <c r="D307" s="24" t="s">
        <v>860</v>
      </c>
      <c r="E307" s="24" t="s">
        <v>861</v>
      </c>
      <c r="F307" s="24" t="s">
        <v>629</v>
      </c>
      <c r="G307" s="24"/>
      <c r="H307" s="24" t="s">
        <v>146</v>
      </c>
      <c r="I307" s="24">
        <v>0</v>
      </c>
      <c r="J307" s="25" t="s">
        <v>631</v>
      </c>
      <c r="K307" s="25" t="s">
        <v>862</v>
      </c>
    </row>
    <row r="308" spans="1:11" ht="24" customHeight="1">
      <c r="A308" s="23" t="s">
        <v>110</v>
      </c>
      <c r="B308" s="24" t="s">
        <v>141</v>
      </c>
      <c r="C308" s="24" t="s">
        <v>142</v>
      </c>
      <c r="D308" s="24" t="s">
        <v>143</v>
      </c>
      <c r="E308" s="24" t="s">
        <v>144</v>
      </c>
      <c r="F308" s="24" t="s">
        <v>145</v>
      </c>
      <c r="G308" s="24"/>
      <c r="H308" s="24" t="s">
        <v>146</v>
      </c>
      <c r="I308" s="24">
        <v>70</v>
      </c>
      <c r="J308" s="25" t="s">
        <v>147</v>
      </c>
      <c r="K308" s="25" t="s">
        <v>148</v>
      </c>
    </row>
    <row r="309" spans="1:11" ht="24" customHeight="1">
      <c r="A309" s="23" t="s">
        <v>110</v>
      </c>
      <c r="B309" s="24" t="s">
        <v>149</v>
      </c>
      <c r="C309" s="24" t="s">
        <v>150</v>
      </c>
      <c r="D309" s="24" t="s">
        <v>151</v>
      </c>
      <c r="E309" s="24"/>
      <c r="F309" s="24" t="s">
        <v>152</v>
      </c>
      <c r="G309" s="24"/>
      <c r="H309" s="24" t="s">
        <v>146</v>
      </c>
      <c r="I309" s="24" t="s">
        <v>153</v>
      </c>
      <c r="J309" s="25" t="s">
        <v>154</v>
      </c>
      <c r="K309" s="25"/>
    </row>
    <row r="310" spans="1:11" ht="24" customHeight="1">
      <c r="A310" s="23" t="s">
        <v>110</v>
      </c>
      <c r="B310" s="24" t="s">
        <v>863</v>
      </c>
      <c r="C310" s="24" t="s">
        <v>864</v>
      </c>
      <c r="D310" s="24" t="s">
        <v>865</v>
      </c>
      <c r="E310" s="24" t="s">
        <v>866</v>
      </c>
      <c r="F310" s="24" t="s">
        <v>398</v>
      </c>
      <c r="G310" s="24"/>
      <c r="H310" s="24" t="s">
        <v>146</v>
      </c>
      <c r="I310" s="24" t="s">
        <v>423</v>
      </c>
      <c r="J310" s="25" t="s">
        <v>400</v>
      </c>
      <c r="K310" s="25" t="s">
        <v>867</v>
      </c>
    </row>
    <row r="311" spans="1:11" ht="24" customHeight="1">
      <c r="A311" s="23" t="s">
        <v>110</v>
      </c>
      <c r="B311" s="24" t="s">
        <v>155</v>
      </c>
      <c r="C311" s="24" t="s">
        <v>156</v>
      </c>
      <c r="D311" s="24" t="s">
        <v>157</v>
      </c>
      <c r="E311" s="24" t="s">
        <v>158</v>
      </c>
      <c r="F311" s="24" t="s">
        <v>159</v>
      </c>
      <c r="G311" s="24"/>
      <c r="H311" s="24" t="s">
        <v>146</v>
      </c>
      <c r="I311" s="24">
        <v>889</v>
      </c>
      <c r="J311" s="25" t="s">
        <v>160</v>
      </c>
      <c r="K311" s="25" t="s">
        <v>161</v>
      </c>
    </row>
    <row r="312" spans="1:11" ht="24" customHeight="1">
      <c r="A312" s="23" t="s">
        <v>110</v>
      </c>
      <c r="B312" s="24" t="s">
        <v>162</v>
      </c>
      <c r="C312" s="24" t="s">
        <v>163</v>
      </c>
      <c r="D312" s="24" t="s">
        <v>164</v>
      </c>
      <c r="E312" s="24"/>
      <c r="F312" s="24" t="s">
        <v>152</v>
      </c>
      <c r="G312" s="24"/>
      <c r="H312" s="24" t="s">
        <v>146</v>
      </c>
      <c r="I312" s="24" t="s">
        <v>165</v>
      </c>
      <c r="J312" s="25" t="s">
        <v>154</v>
      </c>
      <c r="K312" s="25"/>
    </row>
    <row r="313" spans="1:11" ht="60">
      <c r="A313" s="23" t="s">
        <v>110</v>
      </c>
      <c r="B313" s="24" t="s">
        <v>166</v>
      </c>
      <c r="C313" s="24" t="s">
        <v>167</v>
      </c>
      <c r="D313" s="24" t="s">
        <v>168</v>
      </c>
      <c r="E313" s="24" t="s">
        <v>169</v>
      </c>
      <c r="F313" s="24" t="s">
        <v>170</v>
      </c>
      <c r="G313" s="24"/>
      <c r="H313" s="24" t="s">
        <v>146</v>
      </c>
      <c r="I313" s="24" t="s">
        <v>171</v>
      </c>
      <c r="J313" s="25" t="s">
        <v>172</v>
      </c>
      <c r="K313" s="25" t="s">
        <v>173</v>
      </c>
    </row>
    <row r="314" spans="1:11" ht="24" customHeight="1">
      <c r="A314" s="23" t="s">
        <v>110</v>
      </c>
      <c r="B314" s="24" t="s">
        <v>174</v>
      </c>
      <c r="C314" s="24" t="s">
        <v>175</v>
      </c>
      <c r="D314" s="24" t="s">
        <v>176</v>
      </c>
      <c r="E314" s="24"/>
      <c r="F314" s="24" t="s">
        <v>152</v>
      </c>
      <c r="G314" s="24"/>
      <c r="H314" s="24" t="s">
        <v>146</v>
      </c>
      <c r="I314" s="24" t="s">
        <v>177</v>
      </c>
      <c r="J314" s="25" t="s">
        <v>154</v>
      </c>
      <c r="K314" s="25"/>
    </row>
    <row r="315" spans="1:11" ht="48">
      <c r="A315" s="23" t="s">
        <v>110</v>
      </c>
      <c r="B315" s="24" t="s">
        <v>178</v>
      </c>
      <c r="C315" s="24" t="s">
        <v>179</v>
      </c>
      <c r="D315" s="24" t="s">
        <v>180</v>
      </c>
      <c r="E315" s="24" t="s">
        <v>181</v>
      </c>
      <c r="F315" s="24" t="s">
        <v>182</v>
      </c>
      <c r="G315" s="24"/>
      <c r="H315" s="24" t="s">
        <v>146</v>
      </c>
      <c r="I315" s="24" t="s">
        <v>183</v>
      </c>
      <c r="J315" s="25" t="s">
        <v>184</v>
      </c>
      <c r="K315" s="25" t="s">
        <v>185</v>
      </c>
    </row>
    <row r="316" spans="1:11" ht="24" customHeight="1">
      <c r="A316" s="23" t="s">
        <v>110</v>
      </c>
      <c r="B316" s="24" t="s">
        <v>186</v>
      </c>
      <c r="C316" s="24" t="s">
        <v>187</v>
      </c>
      <c r="D316" s="24" t="s">
        <v>188</v>
      </c>
      <c r="E316" s="24"/>
      <c r="F316" s="24" t="s">
        <v>189</v>
      </c>
      <c r="G316" s="24"/>
      <c r="H316" s="24" t="s">
        <v>146</v>
      </c>
      <c r="I316" s="24" t="s">
        <v>190</v>
      </c>
      <c r="J316" s="25" t="s">
        <v>191</v>
      </c>
      <c r="K316" s="25"/>
    </row>
    <row r="317" spans="1:11" ht="48">
      <c r="A317" s="23" t="s">
        <v>110</v>
      </c>
      <c r="B317" s="24" t="s">
        <v>192</v>
      </c>
      <c r="C317" s="24" t="s">
        <v>193</v>
      </c>
      <c r="D317" s="24" t="s">
        <v>194</v>
      </c>
      <c r="E317" s="24" t="s">
        <v>195</v>
      </c>
      <c r="F317" s="24" t="s">
        <v>182</v>
      </c>
      <c r="G317" s="24"/>
      <c r="H317" s="24" t="s">
        <v>146</v>
      </c>
      <c r="I317" s="24" t="s">
        <v>183</v>
      </c>
      <c r="J317" s="25" t="s">
        <v>184</v>
      </c>
      <c r="K317" s="25" t="s">
        <v>196</v>
      </c>
    </row>
    <row r="318" spans="1:11" ht="24" customHeight="1">
      <c r="A318" s="23" t="s">
        <v>110</v>
      </c>
      <c r="B318" s="24" t="s">
        <v>197</v>
      </c>
      <c r="C318" s="24" t="s">
        <v>198</v>
      </c>
      <c r="D318" s="24" t="s">
        <v>199</v>
      </c>
      <c r="E318" s="24"/>
      <c r="F318" s="24" t="s">
        <v>200</v>
      </c>
      <c r="G318" s="24"/>
      <c r="H318" s="24" t="s">
        <v>146</v>
      </c>
      <c r="I318" s="24" t="s">
        <v>190</v>
      </c>
      <c r="J318" s="25" t="s">
        <v>201</v>
      </c>
      <c r="K318" s="25"/>
    </row>
    <row r="319" spans="1:11" ht="24" customHeight="1">
      <c r="A319" s="23" t="s">
        <v>110</v>
      </c>
      <c r="B319" s="24" t="s">
        <v>202</v>
      </c>
      <c r="C319" s="24" t="s">
        <v>203</v>
      </c>
      <c r="D319" s="24" t="s">
        <v>204</v>
      </c>
      <c r="E319" s="24" t="s">
        <v>205</v>
      </c>
      <c r="F319" s="24" t="s">
        <v>182</v>
      </c>
      <c r="G319" s="24"/>
      <c r="H319" s="24" t="s">
        <v>146</v>
      </c>
      <c r="I319" s="24" t="s">
        <v>206</v>
      </c>
      <c r="J319" s="25" t="s">
        <v>184</v>
      </c>
      <c r="K319" s="25" t="s">
        <v>207</v>
      </c>
    </row>
    <row r="320" spans="1:11" ht="24" customHeight="1">
      <c r="A320" s="23" t="s">
        <v>110</v>
      </c>
      <c r="B320" s="24" t="s">
        <v>208</v>
      </c>
      <c r="C320" s="24" t="s">
        <v>209</v>
      </c>
      <c r="D320" s="24" t="s">
        <v>210</v>
      </c>
      <c r="E320" s="24"/>
      <c r="F320" s="24" t="s">
        <v>211</v>
      </c>
      <c r="G320" s="24"/>
      <c r="H320" s="24" t="s">
        <v>146</v>
      </c>
      <c r="I320" s="24" t="s">
        <v>212</v>
      </c>
      <c r="J320" s="25" t="s">
        <v>213</v>
      </c>
      <c r="K320" s="25"/>
    </row>
    <row r="321" spans="1:11" ht="24" customHeight="1">
      <c r="A321" s="23" t="s">
        <v>110</v>
      </c>
      <c r="B321" s="24" t="s">
        <v>214</v>
      </c>
      <c r="C321" s="24" t="s">
        <v>215</v>
      </c>
      <c r="D321" s="24" t="s">
        <v>216</v>
      </c>
      <c r="E321" s="24" t="s">
        <v>217</v>
      </c>
      <c r="F321" s="24" t="s">
        <v>218</v>
      </c>
      <c r="G321" s="24"/>
      <c r="H321" s="24" t="s">
        <v>146</v>
      </c>
      <c r="I321" s="24" t="s">
        <v>219</v>
      </c>
      <c r="J321" s="25" t="s">
        <v>220</v>
      </c>
      <c r="K321" s="25" t="s">
        <v>221</v>
      </c>
    </row>
    <row r="322" spans="1:11" ht="24" customHeight="1">
      <c r="A322" s="23" t="s">
        <v>110</v>
      </c>
      <c r="B322" s="24" t="s">
        <v>222</v>
      </c>
      <c r="C322" s="24" t="s">
        <v>223</v>
      </c>
      <c r="D322" s="24" t="s">
        <v>224</v>
      </c>
      <c r="E322" s="24"/>
      <c r="F322" s="24" t="s">
        <v>152</v>
      </c>
      <c r="G322" s="24"/>
      <c r="H322" s="24" t="s">
        <v>146</v>
      </c>
      <c r="I322" s="24" t="s">
        <v>225</v>
      </c>
      <c r="J322" s="25" t="s">
        <v>154</v>
      </c>
      <c r="K322" s="25"/>
    </row>
    <row r="323" spans="1:11" ht="24" customHeight="1">
      <c r="A323" s="23" t="s">
        <v>110</v>
      </c>
      <c r="B323" s="24" t="s">
        <v>226</v>
      </c>
      <c r="C323" s="24" t="s">
        <v>227</v>
      </c>
      <c r="D323" s="24" t="s">
        <v>228</v>
      </c>
      <c r="E323" s="24" t="s">
        <v>229</v>
      </c>
      <c r="F323" s="24" t="s">
        <v>230</v>
      </c>
      <c r="G323" s="24"/>
      <c r="H323" s="24" t="s">
        <v>146</v>
      </c>
      <c r="I323" s="24" t="s">
        <v>231</v>
      </c>
      <c r="J323" s="25" t="s">
        <v>232</v>
      </c>
      <c r="K323" s="25" t="s">
        <v>233</v>
      </c>
    </row>
    <row r="324" spans="1:11" ht="24" customHeight="1">
      <c r="A324" s="23" t="s">
        <v>110</v>
      </c>
      <c r="B324" s="24" t="s">
        <v>234</v>
      </c>
      <c r="C324" s="24" t="s">
        <v>235</v>
      </c>
      <c r="D324" s="24" t="s">
        <v>236</v>
      </c>
      <c r="E324" s="24"/>
      <c r="F324" s="24" t="s">
        <v>152</v>
      </c>
      <c r="G324" s="24"/>
      <c r="H324" s="24" t="s">
        <v>146</v>
      </c>
      <c r="I324" s="24" t="s">
        <v>237</v>
      </c>
      <c r="J324" s="25" t="s">
        <v>154</v>
      </c>
      <c r="K324" s="25"/>
    </row>
    <row r="325" spans="1:11" ht="36">
      <c r="A325" s="23" t="s">
        <v>110</v>
      </c>
      <c r="B325" s="24" t="s">
        <v>238</v>
      </c>
      <c r="C325" s="24" t="s">
        <v>239</v>
      </c>
      <c r="D325" s="24" t="s">
        <v>240</v>
      </c>
      <c r="E325" s="24" t="s">
        <v>241</v>
      </c>
      <c r="F325" s="24" t="s">
        <v>218</v>
      </c>
      <c r="G325" s="24"/>
      <c r="H325" s="24" t="s">
        <v>146</v>
      </c>
      <c r="I325" s="24" t="s">
        <v>242</v>
      </c>
      <c r="J325" s="25" t="s">
        <v>220</v>
      </c>
      <c r="K325" s="25" t="s">
        <v>243</v>
      </c>
    </row>
    <row r="326" spans="1:11" ht="24" customHeight="1">
      <c r="A326" s="23" t="s">
        <v>110</v>
      </c>
      <c r="B326" s="24" t="s">
        <v>244</v>
      </c>
      <c r="C326" s="24" t="s">
        <v>245</v>
      </c>
      <c r="D326" s="24" t="s">
        <v>246</v>
      </c>
      <c r="E326" s="24"/>
      <c r="F326" s="24" t="s">
        <v>247</v>
      </c>
      <c r="G326" s="24"/>
      <c r="H326" s="24" t="s">
        <v>146</v>
      </c>
      <c r="I326" s="24" t="s">
        <v>248</v>
      </c>
      <c r="J326" s="25" t="s">
        <v>249</v>
      </c>
      <c r="K326" s="25"/>
    </row>
    <row r="327" spans="1:11" ht="36">
      <c r="A327" s="23" t="s">
        <v>110</v>
      </c>
      <c r="B327" s="24" t="s">
        <v>250</v>
      </c>
      <c r="C327" s="24" t="s">
        <v>251</v>
      </c>
      <c r="D327" s="24" t="s">
        <v>252</v>
      </c>
      <c r="E327" s="24" t="s">
        <v>253</v>
      </c>
      <c r="F327" s="24" t="s">
        <v>254</v>
      </c>
      <c r="G327" s="24"/>
      <c r="H327" s="24" t="s">
        <v>146</v>
      </c>
      <c r="I327" s="24" t="s">
        <v>255</v>
      </c>
      <c r="J327" s="25" t="s">
        <v>256</v>
      </c>
      <c r="K327" s="25" t="s">
        <v>257</v>
      </c>
    </row>
    <row r="328" spans="1:11" ht="24" customHeight="1">
      <c r="A328" s="23" t="s">
        <v>110</v>
      </c>
      <c r="B328" s="24" t="s">
        <v>258</v>
      </c>
      <c r="C328" s="24" t="s">
        <v>259</v>
      </c>
      <c r="D328" s="24" t="s">
        <v>260</v>
      </c>
      <c r="E328" s="24"/>
      <c r="F328" s="24" t="s">
        <v>261</v>
      </c>
      <c r="G328" s="24"/>
      <c r="H328" s="24" t="s">
        <v>146</v>
      </c>
      <c r="I328" s="24" t="s">
        <v>262</v>
      </c>
      <c r="J328" s="25" t="s">
        <v>263</v>
      </c>
      <c r="K328" s="25"/>
    </row>
    <row r="329" spans="1:11" ht="24" customHeight="1">
      <c r="A329" s="23" t="s">
        <v>110</v>
      </c>
      <c r="B329" s="24" t="s">
        <v>868</v>
      </c>
      <c r="C329" s="24" t="s">
        <v>869</v>
      </c>
      <c r="D329" s="24" t="s">
        <v>868</v>
      </c>
      <c r="E329" s="24" t="s">
        <v>870</v>
      </c>
      <c r="F329" s="24" t="s">
        <v>629</v>
      </c>
      <c r="G329" s="24"/>
      <c r="H329" s="24" t="s">
        <v>146</v>
      </c>
      <c r="I329" s="24" t="s">
        <v>871</v>
      </c>
      <c r="J329" s="25" t="s">
        <v>631</v>
      </c>
      <c r="K329" s="25" t="s">
        <v>872</v>
      </c>
    </row>
    <row r="330" spans="1:11" ht="60">
      <c r="A330" s="23" t="s">
        <v>110</v>
      </c>
      <c r="B330" s="24" t="s">
        <v>264</v>
      </c>
      <c r="C330" s="24" t="s">
        <v>265</v>
      </c>
      <c r="D330" s="24" t="s">
        <v>266</v>
      </c>
      <c r="E330" s="24" t="s">
        <v>267</v>
      </c>
      <c r="F330" s="24" t="s">
        <v>268</v>
      </c>
      <c r="G330" s="24"/>
      <c r="H330" s="24" t="s">
        <v>146</v>
      </c>
      <c r="I330" s="24" t="s">
        <v>269</v>
      </c>
      <c r="J330" s="25" t="s">
        <v>270</v>
      </c>
      <c r="K330" s="25" t="s">
        <v>271</v>
      </c>
    </row>
    <row r="331" spans="1:11" ht="24" customHeight="1">
      <c r="A331" s="23" t="s">
        <v>110</v>
      </c>
      <c r="B331" s="24" t="s">
        <v>272</v>
      </c>
      <c r="C331" s="24" t="s">
        <v>273</v>
      </c>
      <c r="D331" s="24" t="s">
        <v>274</v>
      </c>
      <c r="E331" s="24"/>
      <c r="F331" s="24" t="s">
        <v>152</v>
      </c>
      <c r="G331" s="24"/>
      <c r="H331" s="24" t="s">
        <v>146</v>
      </c>
      <c r="I331" s="24" t="s">
        <v>275</v>
      </c>
      <c r="J331" s="25" t="s">
        <v>154</v>
      </c>
      <c r="K331" s="25"/>
    </row>
    <row r="332" spans="1:11" ht="24" customHeight="1">
      <c r="A332" s="23" t="s">
        <v>110</v>
      </c>
      <c r="B332" s="24" t="s">
        <v>288</v>
      </c>
      <c r="C332" s="24" t="s">
        <v>289</v>
      </c>
      <c r="D332" s="24" t="s">
        <v>290</v>
      </c>
      <c r="E332" s="24" t="s">
        <v>291</v>
      </c>
      <c r="F332" s="24" t="s">
        <v>292</v>
      </c>
      <c r="G332" s="24"/>
      <c r="H332" s="24" t="s">
        <v>146</v>
      </c>
      <c r="I332" s="24">
        <v>12.026</v>
      </c>
      <c r="J332" s="25" t="s">
        <v>293</v>
      </c>
      <c r="K332" s="25" t="s">
        <v>294</v>
      </c>
    </row>
    <row r="333" spans="1:11" ht="24" customHeight="1">
      <c r="A333" s="23" t="s">
        <v>110</v>
      </c>
      <c r="B333" s="24" t="s">
        <v>295</v>
      </c>
      <c r="C333" s="24" t="s">
        <v>296</v>
      </c>
      <c r="D333" s="24" t="s">
        <v>297</v>
      </c>
      <c r="E333" s="24"/>
      <c r="F333" s="24" t="s">
        <v>189</v>
      </c>
      <c r="G333" s="24"/>
      <c r="H333" s="24" t="s">
        <v>146</v>
      </c>
      <c r="I333" s="24" t="s">
        <v>298</v>
      </c>
      <c r="J333" s="25" t="s">
        <v>191</v>
      </c>
      <c r="K333" s="25"/>
    </row>
    <row r="334" spans="1:11" ht="36">
      <c r="A334" s="23" t="s">
        <v>110</v>
      </c>
      <c r="B334" s="24" t="s">
        <v>299</v>
      </c>
      <c r="C334" s="24" t="s">
        <v>300</v>
      </c>
      <c r="D334" s="24" t="s">
        <v>301</v>
      </c>
      <c r="E334" s="24" t="s">
        <v>302</v>
      </c>
      <c r="F334" s="24" t="s">
        <v>218</v>
      </c>
      <c r="G334" s="24"/>
      <c r="H334" s="24" t="s">
        <v>146</v>
      </c>
      <c r="I334" s="24" t="s">
        <v>303</v>
      </c>
      <c r="J334" s="25" t="s">
        <v>220</v>
      </c>
      <c r="K334" s="25" t="s">
        <v>304</v>
      </c>
    </row>
    <row r="335" spans="1:11" ht="24" customHeight="1">
      <c r="A335" s="23" t="s">
        <v>110</v>
      </c>
      <c r="B335" s="24" t="s">
        <v>305</v>
      </c>
      <c r="C335" s="24" t="s">
        <v>306</v>
      </c>
      <c r="D335" s="24" t="s">
        <v>307</v>
      </c>
      <c r="E335" s="24"/>
      <c r="F335" s="24" t="s">
        <v>308</v>
      </c>
      <c r="G335" s="24"/>
      <c r="H335" s="24" t="s">
        <v>146</v>
      </c>
      <c r="I335" s="24" t="s">
        <v>309</v>
      </c>
      <c r="J335" s="25" t="s">
        <v>310</v>
      </c>
      <c r="K335" s="25"/>
    </row>
    <row r="336" spans="1:11" ht="24">
      <c r="A336" s="23" t="s">
        <v>110</v>
      </c>
      <c r="B336" s="24" t="s">
        <v>678</v>
      </c>
      <c r="C336" s="24" t="s">
        <v>679</v>
      </c>
      <c r="D336" s="24" t="s">
        <v>680</v>
      </c>
      <c r="E336" s="24" t="s">
        <v>873</v>
      </c>
      <c r="F336" s="24" t="s">
        <v>254</v>
      </c>
      <c r="G336" s="24"/>
      <c r="H336" s="24" t="s">
        <v>146</v>
      </c>
      <c r="I336" s="24" t="s">
        <v>874</v>
      </c>
      <c r="J336" s="25" t="s">
        <v>256</v>
      </c>
      <c r="K336" s="25" t="s">
        <v>682</v>
      </c>
    </row>
    <row r="337" spans="1:11" ht="24" customHeight="1">
      <c r="A337" s="23" t="s">
        <v>110</v>
      </c>
      <c r="B337" s="24" t="s">
        <v>683</v>
      </c>
      <c r="C337" s="24" t="s">
        <v>684</v>
      </c>
      <c r="D337" s="24" t="s">
        <v>685</v>
      </c>
      <c r="E337" s="24"/>
      <c r="F337" s="24" t="s">
        <v>152</v>
      </c>
      <c r="G337" s="24"/>
      <c r="H337" s="24" t="s">
        <v>146</v>
      </c>
      <c r="I337" s="24" t="s">
        <v>875</v>
      </c>
      <c r="J337" s="25" t="s">
        <v>154</v>
      </c>
      <c r="K337" s="25"/>
    </row>
    <row r="338" spans="1:11" ht="24" customHeight="1">
      <c r="A338" s="23" t="s">
        <v>110</v>
      </c>
      <c r="B338" s="24" t="s">
        <v>311</v>
      </c>
      <c r="C338" s="24" t="s">
        <v>312</v>
      </c>
      <c r="D338" s="24" t="s">
        <v>313</v>
      </c>
      <c r="E338" s="24" t="s">
        <v>314</v>
      </c>
      <c r="F338" s="24" t="s">
        <v>145</v>
      </c>
      <c r="G338" s="24"/>
      <c r="H338" s="24" t="s">
        <v>146</v>
      </c>
      <c r="I338" s="24">
        <v>1</v>
      </c>
      <c r="J338" s="25" t="s">
        <v>315</v>
      </c>
      <c r="K338" s="25" t="s">
        <v>316</v>
      </c>
    </row>
    <row r="339" spans="1:11" ht="24" customHeight="1">
      <c r="A339" s="23" t="s">
        <v>110</v>
      </c>
      <c r="B339" s="24" t="s">
        <v>317</v>
      </c>
      <c r="C339" s="24" t="s">
        <v>318</v>
      </c>
      <c r="D339" s="24" t="s">
        <v>319</v>
      </c>
      <c r="E339" s="24"/>
      <c r="F339" s="24" t="s">
        <v>152</v>
      </c>
      <c r="G339" s="24"/>
      <c r="H339" s="24" t="s">
        <v>146</v>
      </c>
      <c r="I339" s="24" t="s">
        <v>320</v>
      </c>
      <c r="J339" s="25" t="s">
        <v>154</v>
      </c>
      <c r="K339" s="25"/>
    </row>
    <row r="340" spans="1:11" ht="24" customHeight="1">
      <c r="A340" s="23" t="s">
        <v>110</v>
      </c>
      <c r="B340" s="24" t="s">
        <v>321</v>
      </c>
      <c r="C340" s="24" t="s">
        <v>322</v>
      </c>
      <c r="D340" s="24" t="s">
        <v>323</v>
      </c>
      <c r="E340" s="24" t="s">
        <v>324</v>
      </c>
      <c r="F340" s="24" t="s">
        <v>285</v>
      </c>
      <c r="G340" s="24"/>
      <c r="H340" s="24" t="s">
        <v>146</v>
      </c>
      <c r="I340" s="24" t="s">
        <v>325</v>
      </c>
      <c r="J340" s="25" t="s">
        <v>287</v>
      </c>
      <c r="K340" s="25" t="s">
        <v>326</v>
      </c>
    </row>
    <row r="341" spans="1:11" ht="24" customHeight="1">
      <c r="A341" s="23" t="s">
        <v>110</v>
      </c>
      <c r="B341" s="24" t="s">
        <v>327</v>
      </c>
      <c r="C341" s="24" t="s">
        <v>328</v>
      </c>
      <c r="D341" s="24" t="s">
        <v>329</v>
      </c>
      <c r="E341" s="24"/>
      <c r="F341" s="24" t="s">
        <v>330</v>
      </c>
      <c r="G341" s="24"/>
      <c r="H341" s="24" t="s">
        <v>146</v>
      </c>
      <c r="I341" s="24" t="s">
        <v>331</v>
      </c>
      <c r="J341" s="25" t="s">
        <v>332</v>
      </c>
      <c r="K341" s="25"/>
    </row>
    <row r="342" spans="1:11" ht="24" customHeight="1">
      <c r="A342" s="23" t="s">
        <v>110</v>
      </c>
      <c r="B342" s="24" t="s">
        <v>333</v>
      </c>
      <c r="C342" s="24" t="s">
        <v>334</v>
      </c>
      <c r="D342" s="24" t="s">
        <v>335</v>
      </c>
      <c r="E342" s="24" t="s">
        <v>336</v>
      </c>
      <c r="F342" s="24" t="s">
        <v>285</v>
      </c>
      <c r="G342" s="24"/>
      <c r="H342" s="24" t="s">
        <v>146</v>
      </c>
      <c r="I342" s="24">
        <v>3530369</v>
      </c>
      <c r="J342" s="25" t="s">
        <v>287</v>
      </c>
      <c r="K342" s="25" t="s">
        <v>337</v>
      </c>
    </row>
    <row r="343" spans="1:11" ht="24" customHeight="1">
      <c r="A343" s="23" t="s">
        <v>110</v>
      </c>
      <c r="B343" s="24" t="s">
        <v>338</v>
      </c>
      <c r="C343" s="24" t="s">
        <v>339</v>
      </c>
      <c r="D343" s="24" t="s">
        <v>340</v>
      </c>
      <c r="E343" s="24"/>
      <c r="F343" s="24" t="s">
        <v>330</v>
      </c>
      <c r="G343" s="24"/>
      <c r="H343" s="24" t="s">
        <v>146</v>
      </c>
      <c r="I343" s="24" t="s">
        <v>876</v>
      </c>
      <c r="J343" s="25" t="s">
        <v>332</v>
      </c>
      <c r="K343" s="25"/>
    </row>
    <row r="344" spans="1:11" ht="24" customHeight="1">
      <c r="A344" s="23" t="s">
        <v>110</v>
      </c>
      <c r="B344" s="24" t="s">
        <v>341</v>
      </c>
      <c r="C344" s="24" t="s">
        <v>342</v>
      </c>
      <c r="D344" s="24" t="s">
        <v>343</v>
      </c>
      <c r="E344" s="24" t="s">
        <v>344</v>
      </c>
      <c r="F344" s="24" t="s">
        <v>182</v>
      </c>
      <c r="G344" s="24"/>
      <c r="H344" s="24" t="s">
        <v>146</v>
      </c>
      <c r="I344" s="24">
        <v>71</v>
      </c>
      <c r="J344" s="25" t="s">
        <v>184</v>
      </c>
      <c r="K344" s="25" t="s">
        <v>345</v>
      </c>
    </row>
    <row r="345" spans="1:11" ht="24" customHeight="1">
      <c r="A345" s="23" t="s">
        <v>110</v>
      </c>
      <c r="B345" s="24" t="s">
        <v>346</v>
      </c>
      <c r="C345" s="24" t="s">
        <v>347</v>
      </c>
      <c r="D345" s="24" t="s">
        <v>348</v>
      </c>
      <c r="E345" s="24"/>
      <c r="F345" s="24" t="s">
        <v>285</v>
      </c>
      <c r="G345" s="24"/>
      <c r="H345" s="24" t="s">
        <v>146</v>
      </c>
      <c r="I345" s="24" t="s">
        <v>286</v>
      </c>
      <c r="J345" s="25" t="s">
        <v>287</v>
      </c>
      <c r="K345" s="25"/>
    </row>
    <row r="346" spans="1:11" ht="36">
      <c r="A346" s="23" t="s">
        <v>110</v>
      </c>
      <c r="B346" s="24" t="s">
        <v>349</v>
      </c>
      <c r="C346" s="24" t="s">
        <v>350</v>
      </c>
      <c r="D346" s="24" t="s">
        <v>351</v>
      </c>
      <c r="E346" s="24" t="s">
        <v>352</v>
      </c>
      <c r="F346" s="24" t="s">
        <v>218</v>
      </c>
      <c r="G346" s="24"/>
      <c r="H346" s="24" t="s">
        <v>146</v>
      </c>
      <c r="I346" s="24" t="s">
        <v>353</v>
      </c>
      <c r="J346" s="25" t="s">
        <v>220</v>
      </c>
      <c r="K346" s="25" t="s">
        <v>354</v>
      </c>
    </row>
    <row r="347" spans="1:11" ht="24" customHeight="1">
      <c r="A347" s="23" t="s">
        <v>110</v>
      </c>
      <c r="B347" s="24" t="s">
        <v>355</v>
      </c>
      <c r="C347" s="24" t="s">
        <v>356</v>
      </c>
      <c r="D347" s="24" t="s">
        <v>357</v>
      </c>
      <c r="E347" s="24"/>
      <c r="F347" s="24" t="s">
        <v>152</v>
      </c>
      <c r="G347" s="24"/>
      <c r="H347" s="24" t="s">
        <v>146</v>
      </c>
      <c r="I347" s="24" t="s">
        <v>212</v>
      </c>
      <c r="J347" s="25" t="s">
        <v>154</v>
      </c>
      <c r="K347" s="25"/>
    </row>
    <row r="348" spans="1:11" ht="36">
      <c r="A348" s="23" t="s">
        <v>110</v>
      </c>
      <c r="B348" s="24" t="s">
        <v>358</v>
      </c>
      <c r="C348" s="24" t="s">
        <v>359</v>
      </c>
      <c r="D348" s="24" t="s">
        <v>360</v>
      </c>
      <c r="E348" s="24" t="s">
        <v>361</v>
      </c>
      <c r="F348" s="24" t="s">
        <v>218</v>
      </c>
      <c r="G348" s="24"/>
      <c r="H348" s="24" t="s">
        <v>146</v>
      </c>
      <c r="I348" s="24">
        <v>714</v>
      </c>
      <c r="J348" s="25" t="s">
        <v>220</v>
      </c>
      <c r="K348" s="25" t="s">
        <v>362</v>
      </c>
    </row>
    <row r="349" spans="1:11" ht="24" customHeight="1">
      <c r="A349" s="23" t="s">
        <v>110</v>
      </c>
      <c r="B349" s="24" t="s">
        <v>363</v>
      </c>
      <c r="C349" s="24" t="s">
        <v>364</v>
      </c>
      <c r="D349" s="24" t="s">
        <v>365</v>
      </c>
      <c r="E349" s="24"/>
      <c r="F349" s="24" t="s">
        <v>152</v>
      </c>
      <c r="G349" s="24"/>
      <c r="H349" s="24" t="s">
        <v>146</v>
      </c>
      <c r="I349" s="24" t="s">
        <v>225</v>
      </c>
      <c r="J349" s="25" t="s">
        <v>154</v>
      </c>
      <c r="K349" s="25"/>
    </row>
    <row r="350" spans="1:11" ht="36">
      <c r="A350" s="23" t="s">
        <v>110</v>
      </c>
      <c r="B350" s="24" t="s">
        <v>366</v>
      </c>
      <c r="C350" s="24" t="s">
        <v>367</v>
      </c>
      <c r="D350" s="24" t="s">
        <v>368</v>
      </c>
      <c r="E350" s="24" t="s">
        <v>369</v>
      </c>
      <c r="F350" s="24" t="s">
        <v>218</v>
      </c>
      <c r="G350" s="24"/>
      <c r="H350" s="24" t="s">
        <v>146</v>
      </c>
      <c r="I350" s="24">
        <v>201</v>
      </c>
      <c r="J350" s="25" t="s">
        <v>220</v>
      </c>
      <c r="K350" s="25" t="s">
        <v>370</v>
      </c>
    </row>
    <row r="351" spans="1:11" ht="24" customHeight="1">
      <c r="A351" s="23" t="s">
        <v>110</v>
      </c>
      <c r="B351" s="24" t="s">
        <v>371</v>
      </c>
      <c r="C351" s="24" t="s">
        <v>372</v>
      </c>
      <c r="D351" s="24" t="s">
        <v>373</v>
      </c>
      <c r="E351" s="24"/>
      <c r="F351" s="24" t="s">
        <v>152</v>
      </c>
      <c r="G351" s="24"/>
      <c r="H351" s="24" t="s">
        <v>146</v>
      </c>
      <c r="I351" s="24" t="s">
        <v>374</v>
      </c>
      <c r="J351" s="25" t="s">
        <v>154</v>
      </c>
      <c r="K351" s="25"/>
    </row>
    <row r="352" spans="1:11" ht="24" customHeight="1">
      <c r="A352" s="23" t="s">
        <v>110</v>
      </c>
      <c r="B352" s="24" t="s">
        <v>375</v>
      </c>
      <c r="C352" s="24" t="s">
        <v>376</v>
      </c>
      <c r="D352" s="24" t="s">
        <v>377</v>
      </c>
      <c r="E352" s="24" t="s">
        <v>378</v>
      </c>
      <c r="F352" s="24" t="s">
        <v>254</v>
      </c>
      <c r="G352" s="24"/>
      <c r="H352" s="24" t="s">
        <v>146</v>
      </c>
      <c r="I352" s="24" t="s">
        <v>379</v>
      </c>
      <c r="J352" s="25" t="s">
        <v>256</v>
      </c>
      <c r="K352" s="25" t="s">
        <v>380</v>
      </c>
    </row>
    <row r="353" spans="1:11" ht="24" customHeight="1">
      <c r="A353" s="23" t="s">
        <v>110</v>
      </c>
      <c r="B353" s="24" t="s">
        <v>381</v>
      </c>
      <c r="C353" s="24" t="s">
        <v>382</v>
      </c>
      <c r="D353" s="24" t="s">
        <v>383</v>
      </c>
      <c r="E353" s="24"/>
      <c r="F353" s="24" t="s">
        <v>152</v>
      </c>
      <c r="G353" s="24"/>
      <c r="H353" s="24" t="s">
        <v>146</v>
      </c>
      <c r="I353" s="24" t="s">
        <v>237</v>
      </c>
      <c r="J353" s="25" t="s">
        <v>154</v>
      </c>
      <c r="K353" s="25"/>
    </row>
    <row r="354" spans="1:11" ht="48">
      <c r="A354" s="23" t="s">
        <v>110</v>
      </c>
      <c r="B354" s="24" t="s">
        <v>384</v>
      </c>
      <c r="C354" s="24" t="s">
        <v>385</v>
      </c>
      <c r="D354" s="24" t="s">
        <v>386</v>
      </c>
      <c r="E354" s="24" t="s">
        <v>387</v>
      </c>
      <c r="F354" s="24" t="s">
        <v>285</v>
      </c>
      <c r="G354" s="24"/>
      <c r="H354" s="24" t="s">
        <v>146</v>
      </c>
      <c r="I354" s="24">
        <v>730525</v>
      </c>
      <c r="J354" s="25" t="s">
        <v>287</v>
      </c>
      <c r="K354" s="25" t="s">
        <v>388</v>
      </c>
    </row>
    <row r="355" spans="1:11" ht="24" customHeight="1">
      <c r="A355" s="23" t="s">
        <v>110</v>
      </c>
      <c r="B355" s="24" t="s">
        <v>389</v>
      </c>
      <c r="C355" s="24" t="s">
        <v>390</v>
      </c>
      <c r="D355" s="24" t="s">
        <v>391</v>
      </c>
      <c r="E355" s="24"/>
      <c r="F355" s="24" t="s">
        <v>392</v>
      </c>
      <c r="G355" s="24"/>
      <c r="H355" s="24" t="s">
        <v>146</v>
      </c>
      <c r="I355" s="24" t="s">
        <v>393</v>
      </c>
      <c r="J355" s="25" t="s">
        <v>394</v>
      </c>
      <c r="K355" s="25"/>
    </row>
    <row r="356" spans="1:11" ht="24" customHeight="1">
      <c r="A356" s="23" t="s">
        <v>110</v>
      </c>
      <c r="B356" s="24" t="s">
        <v>402</v>
      </c>
      <c r="C356" s="24" t="s">
        <v>403</v>
      </c>
      <c r="D356" s="24" t="s">
        <v>404</v>
      </c>
      <c r="E356" s="24" t="s">
        <v>405</v>
      </c>
      <c r="F356" s="24" t="s">
        <v>230</v>
      </c>
      <c r="G356" s="24"/>
      <c r="H356" s="24" t="s">
        <v>146</v>
      </c>
      <c r="I356" s="24">
        <v>70630</v>
      </c>
      <c r="J356" s="25" t="s">
        <v>232</v>
      </c>
      <c r="K356" s="25" t="s">
        <v>406</v>
      </c>
    </row>
    <row r="357" spans="1:11" ht="24" customHeight="1">
      <c r="A357" s="23" t="s">
        <v>110</v>
      </c>
      <c r="B357" s="24" t="s">
        <v>407</v>
      </c>
      <c r="C357" s="24" t="s">
        <v>408</v>
      </c>
      <c r="D357" s="24" t="s">
        <v>409</v>
      </c>
      <c r="E357" s="24"/>
      <c r="F357" s="24" t="s">
        <v>152</v>
      </c>
      <c r="G357" s="24"/>
      <c r="H357" s="24" t="s">
        <v>146</v>
      </c>
      <c r="I357" s="24" t="s">
        <v>410</v>
      </c>
      <c r="J357" s="25" t="s">
        <v>154</v>
      </c>
      <c r="K357" s="25"/>
    </row>
    <row r="358" spans="1:11" ht="48">
      <c r="A358" s="23" t="s">
        <v>110</v>
      </c>
      <c r="B358" s="24" t="s">
        <v>411</v>
      </c>
      <c r="C358" s="24" t="s">
        <v>412</v>
      </c>
      <c r="D358" s="24" t="s">
        <v>411</v>
      </c>
      <c r="E358" s="24" t="s">
        <v>413</v>
      </c>
      <c r="F358" s="24" t="s">
        <v>254</v>
      </c>
      <c r="G358" s="24"/>
      <c r="H358" s="24" t="s">
        <v>146</v>
      </c>
      <c r="I358" s="24" t="s">
        <v>414</v>
      </c>
      <c r="J358" s="25" t="s">
        <v>256</v>
      </c>
      <c r="K358" s="25" t="s">
        <v>415</v>
      </c>
    </row>
    <row r="359" spans="1:11" ht="24" customHeight="1">
      <c r="A359" s="23" t="s">
        <v>110</v>
      </c>
      <c r="B359" s="24" t="s">
        <v>416</v>
      </c>
      <c r="C359" s="24" t="s">
        <v>417</v>
      </c>
      <c r="D359" s="24" t="s">
        <v>418</v>
      </c>
      <c r="E359" s="24"/>
      <c r="F359" s="24" t="s">
        <v>152</v>
      </c>
      <c r="G359" s="24"/>
      <c r="H359" s="24" t="s">
        <v>146</v>
      </c>
      <c r="I359" s="24" t="s">
        <v>419</v>
      </c>
      <c r="J359" s="25" t="s">
        <v>154</v>
      </c>
      <c r="K359" s="25"/>
    </row>
    <row r="360" spans="1:11" ht="48">
      <c r="A360" s="23" t="s">
        <v>110</v>
      </c>
      <c r="B360" s="24" t="s">
        <v>425</v>
      </c>
      <c r="C360" s="24" t="s">
        <v>426</v>
      </c>
      <c r="D360" s="24" t="s">
        <v>427</v>
      </c>
      <c r="E360" s="24" t="s">
        <v>428</v>
      </c>
      <c r="F360" s="24" t="s">
        <v>182</v>
      </c>
      <c r="G360" s="24"/>
      <c r="H360" s="24" t="s">
        <v>146</v>
      </c>
      <c r="I360" s="24">
        <v>70</v>
      </c>
      <c r="J360" s="25" t="s">
        <v>184</v>
      </c>
      <c r="K360" s="25" t="s">
        <v>429</v>
      </c>
    </row>
    <row r="361" spans="1:11" ht="24" customHeight="1">
      <c r="A361" s="23" t="s">
        <v>110</v>
      </c>
      <c r="B361" s="24" t="s">
        <v>430</v>
      </c>
      <c r="C361" s="24" t="s">
        <v>431</v>
      </c>
      <c r="D361" s="24" t="s">
        <v>432</v>
      </c>
      <c r="E361" s="24"/>
      <c r="F361" s="24" t="s">
        <v>200</v>
      </c>
      <c r="G361" s="24"/>
      <c r="H361" s="24" t="s">
        <v>146</v>
      </c>
      <c r="I361" s="24" t="s">
        <v>153</v>
      </c>
      <c r="J361" s="25" t="s">
        <v>201</v>
      </c>
      <c r="K361" s="25"/>
    </row>
    <row r="362" spans="1:11" ht="24">
      <c r="A362" s="23" t="s">
        <v>110</v>
      </c>
      <c r="B362" s="24" t="s">
        <v>433</v>
      </c>
      <c r="C362" s="24" t="s">
        <v>434</v>
      </c>
      <c r="D362" s="24" t="s">
        <v>435</v>
      </c>
      <c r="E362" s="24" t="s">
        <v>436</v>
      </c>
      <c r="F362" s="24" t="s">
        <v>182</v>
      </c>
      <c r="G362" s="24"/>
      <c r="H362" s="24" t="s">
        <v>146</v>
      </c>
      <c r="I362" s="24">
        <v>4</v>
      </c>
      <c r="J362" s="25" t="s">
        <v>184</v>
      </c>
      <c r="K362" s="25" t="s">
        <v>437</v>
      </c>
    </row>
    <row r="363" spans="1:11" ht="24" customHeight="1">
      <c r="A363" s="23" t="s">
        <v>110</v>
      </c>
      <c r="B363" s="24" t="s">
        <v>438</v>
      </c>
      <c r="C363" s="24" t="s">
        <v>439</v>
      </c>
      <c r="D363" s="24" t="s">
        <v>440</v>
      </c>
      <c r="E363" s="24"/>
      <c r="F363" s="24" t="s">
        <v>152</v>
      </c>
      <c r="G363" s="24"/>
      <c r="H363" s="24" t="s">
        <v>146</v>
      </c>
      <c r="I363" s="24" t="s">
        <v>441</v>
      </c>
      <c r="J363" s="25" t="s">
        <v>154</v>
      </c>
      <c r="K363" s="25"/>
    </row>
    <row r="364" spans="1:11" ht="24">
      <c r="A364" s="23" t="s">
        <v>110</v>
      </c>
      <c r="B364" s="24" t="s">
        <v>442</v>
      </c>
      <c r="C364" s="24" t="s">
        <v>443</v>
      </c>
      <c r="D364" s="24" t="s">
        <v>444</v>
      </c>
      <c r="E364" s="24" t="s">
        <v>445</v>
      </c>
      <c r="F364" s="24" t="s">
        <v>218</v>
      </c>
      <c r="G364" s="24"/>
      <c r="H364" s="24" t="s">
        <v>146</v>
      </c>
      <c r="I364" s="24" t="s">
        <v>446</v>
      </c>
      <c r="J364" s="25" t="s">
        <v>220</v>
      </c>
      <c r="K364" s="25" t="s">
        <v>447</v>
      </c>
    </row>
    <row r="365" spans="1:11" ht="24" customHeight="1">
      <c r="A365" s="23" t="s">
        <v>110</v>
      </c>
      <c r="B365" s="24" t="s">
        <v>448</v>
      </c>
      <c r="C365" s="24" t="s">
        <v>449</v>
      </c>
      <c r="D365" s="24" t="s">
        <v>450</v>
      </c>
      <c r="E365" s="24"/>
      <c r="F365" s="24" t="s">
        <v>152</v>
      </c>
      <c r="G365" s="24"/>
      <c r="H365" s="24" t="s">
        <v>146</v>
      </c>
      <c r="I365" s="24" t="s">
        <v>451</v>
      </c>
      <c r="J365" s="25" t="s">
        <v>154</v>
      </c>
      <c r="K365" s="25"/>
    </row>
    <row r="366" spans="1:11" ht="24">
      <c r="A366" s="23" t="s">
        <v>110</v>
      </c>
      <c r="B366" s="24" t="s">
        <v>452</v>
      </c>
      <c r="C366" s="24" t="s">
        <v>453</v>
      </c>
      <c r="D366" s="24" t="s">
        <v>454</v>
      </c>
      <c r="E366" s="24" t="s">
        <v>455</v>
      </c>
      <c r="F366" s="24" t="s">
        <v>218</v>
      </c>
      <c r="G366" s="24"/>
      <c r="H366" s="24" t="s">
        <v>146</v>
      </c>
      <c r="I366" s="24" t="s">
        <v>456</v>
      </c>
      <c r="J366" s="25" t="s">
        <v>220</v>
      </c>
      <c r="K366" s="25" t="s">
        <v>457</v>
      </c>
    </row>
    <row r="367" spans="1:11" ht="24" customHeight="1">
      <c r="A367" s="23" t="s">
        <v>110</v>
      </c>
      <c r="B367" s="24" t="s">
        <v>458</v>
      </c>
      <c r="C367" s="24" t="s">
        <v>459</v>
      </c>
      <c r="D367" s="24" t="s">
        <v>460</v>
      </c>
      <c r="E367" s="24"/>
      <c r="F367" s="24" t="s">
        <v>152</v>
      </c>
      <c r="G367" s="24"/>
      <c r="H367" s="24" t="s">
        <v>146</v>
      </c>
      <c r="I367" s="24" t="s">
        <v>461</v>
      </c>
      <c r="J367" s="25" t="s">
        <v>154</v>
      </c>
      <c r="K367" s="25"/>
    </row>
    <row r="368" spans="1:11" ht="24">
      <c r="A368" s="23" t="s">
        <v>110</v>
      </c>
      <c r="B368" s="24" t="s">
        <v>462</v>
      </c>
      <c r="C368" s="24" t="s">
        <v>463</v>
      </c>
      <c r="D368" s="24" t="s">
        <v>464</v>
      </c>
      <c r="E368" s="24" t="s">
        <v>465</v>
      </c>
      <c r="F368" s="24" t="s">
        <v>170</v>
      </c>
      <c r="G368" s="24"/>
      <c r="H368" s="24" t="s">
        <v>146</v>
      </c>
      <c r="I368" s="24" t="s">
        <v>23</v>
      </c>
      <c r="J368" s="25" t="s">
        <v>172</v>
      </c>
      <c r="K368" s="25" t="s">
        <v>466</v>
      </c>
    </row>
    <row r="369" spans="1:11" ht="24" customHeight="1">
      <c r="A369" s="23" t="s">
        <v>110</v>
      </c>
      <c r="B369" s="24" t="s">
        <v>467</v>
      </c>
      <c r="C369" s="24" t="s">
        <v>468</v>
      </c>
      <c r="D369" s="24" t="s">
        <v>469</v>
      </c>
      <c r="E369" s="24"/>
      <c r="F369" s="24" t="s">
        <v>152</v>
      </c>
      <c r="G369" s="24"/>
      <c r="H369" s="24" t="s">
        <v>146</v>
      </c>
      <c r="I369" s="24" t="s">
        <v>470</v>
      </c>
      <c r="J369" s="25" t="s">
        <v>154</v>
      </c>
      <c r="K369" s="25"/>
    </row>
    <row r="370" spans="1:11" ht="36">
      <c r="A370" s="23" t="s">
        <v>110</v>
      </c>
      <c r="B370" s="24" t="s">
        <v>471</v>
      </c>
      <c r="C370" s="24" t="s">
        <v>472</v>
      </c>
      <c r="D370" s="24" t="s">
        <v>473</v>
      </c>
      <c r="E370" s="24" t="s">
        <v>474</v>
      </c>
      <c r="F370" s="24" t="s">
        <v>170</v>
      </c>
      <c r="G370" s="24"/>
      <c r="H370" s="24" t="s">
        <v>146</v>
      </c>
      <c r="I370" s="24" t="s">
        <v>23</v>
      </c>
      <c r="J370" s="25" t="s">
        <v>172</v>
      </c>
      <c r="K370" s="25" t="s">
        <v>475</v>
      </c>
    </row>
    <row r="371" spans="1:11" ht="40.5" customHeight="1">
      <c r="A371" s="23" t="s">
        <v>110</v>
      </c>
      <c r="B371" s="24" t="s">
        <v>476</v>
      </c>
      <c r="C371" s="24" t="s">
        <v>477</v>
      </c>
      <c r="D371" s="24" t="s">
        <v>478</v>
      </c>
      <c r="E371" s="24"/>
      <c r="F371" s="24" t="s">
        <v>152</v>
      </c>
      <c r="G371" s="24"/>
      <c r="H371" s="24" t="s">
        <v>146</v>
      </c>
      <c r="I371" s="24" t="s">
        <v>470</v>
      </c>
      <c r="J371" s="25" t="s">
        <v>154</v>
      </c>
      <c r="K371" s="25"/>
    </row>
    <row r="372" spans="1:11" ht="24" customHeight="1">
      <c r="A372" s="23" t="s">
        <v>110</v>
      </c>
      <c r="B372" s="24" t="s">
        <v>479</v>
      </c>
      <c r="C372" s="24" t="s">
        <v>480</v>
      </c>
      <c r="D372" s="24" t="s">
        <v>481</v>
      </c>
      <c r="E372" s="24" t="s">
        <v>482</v>
      </c>
      <c r="F372" s="24" t="s">
        <v>483</v>
      </c>
      <c r="G372" s="24"/>
      <c r="H372" s="24" t="s">
        <v>146</v>
      </c>
      <c r="I372" s="24" t="s">
        <v>484</v>
      </c>
      <c r="J372" s="25" t="s">
        <v>485</v>
      </c>
      <c r="K372" s="25" t="s">
        <v>486</v>
      </c>
    </row>
    <row r="373" spans="1:11" ht="24" customHeight="1">
      <c r="A373" s="23" t="s">
        <v>110</v>
      </c>
      <c r="B373" s="24" t="s">
        <v>487</v>
      </c>
      <c r="C373" s="24" t="s">
        <v>488</v>
      </c>
      <c r="D373" s="24" t="s">
        <v>489</v>
      </c>
      <c r="E373" s="24"/>
      <c r="F373" s="24" t="s">
        <v>392</v>
      </c>
      <c r="G373" s="24"/>
      <c r="H373" s="24" t="s">
        <v>146</v>
      </c>
      <c r="I373" s="24" t="s">
        <v>490</v>
      </c>
      <c r="J373" s="25" t="s">
        <v>394</v>
      </c>
      <c r="K373" s="25"/>
    </row>
    <row r="374" spans="1:11" ht="36">
      <c r="A374" s="23" t="s">
        <v>110</v>
      </c>
      <c r="B374" s="24" t="s">
        <v>491</v>
      </c>
      <c r="C374" s="24" t="s">
        <v>492</v>
      </c>
      <c r="D374" s="24" t="s">
        <v>493</v>
      </c>
      <c r="E374" s="24" t="s">
        <v>494</v>
      </c>
      <c r="F374" s="24" t="s">
        <v>182</v>
      </c>
      <c r="G374" s="24"/>
      <c r="H374" s="24" t="s">
        <v>146</v>
      </c>
      <c r="I374" s="24" t="s">
        <v>495</v>
      </c>
      <c r="J374" s="25" t="s">
        <v>184</v>
      </c>
      <c r="K374" s="25" t="s">
        <v>496</v>
      </c>
    </row>
    <row r="375" spans="1:11" ht="24" customHeight="1">
      <c r="A375" s="23" t="s">
        <v>110</v>
      </c>
      <c r="B375" s="24" t="s">
        <v>497</v>
      </c>
      <c r="C375" s="24" t="s">
        <v>498</v>
      </c>
      <c r="D375" s="24" t="s">
        <v>499</v>
      </c>
      <c r="E375" s="24"/>
      <c r="F375" s="24" t="s">
        <v>500</v>
      </c>
      <c r="G375" s="24"/>
      <c r="H375" s="24" t="s">
        <v>146</v>
      </c>
      <c r="I375" s="24" t="s">
        <v>501</v>
      </c>
      <c r="J375" s="25" t="s">
        <v>502</v>
      </c>
      <c r="K375" s="25"/>
    </row>
    <row r="376" spans="1:11" ht="36">
      <c r="A376" s="23" t="s">
        <v>110</v>
      </c>
      <c r="B376" s="24" t="s">
        <v>503</v>
      </c>
      <c r="C376" s="24" t="s">
        <v>504</v>
      </c>
      <c r="D376" s="24" t="s">
        <v>505</v>
      </c>
      <c r="E376" s="24" t="s">
        <v>506</v>
      </c>
      <c r="F376" s="24" t="s">
        <v>182</v>
      </c>
      <c r="G376" s="24"/>
      <c r="H376" s="24" t="s">
        <v>146</v>
      </c>
      <c r="I376" s="24" t="s">
        <v>495</v>
      </c>
      <c r="J376" s="25" t="s">
        <v>184</v>
      </c>
      <c r="K376" s="25" t="s">
        <v>507</v>
      </c>
    </row>
    <row r="377" spans="1:11" ht="24" customHeight="1">
      <c r="A377" s="23" t="s">
        <v>110</v>
      </c>
      <c r="B377" s="24" t="s">
        <v>508</v>
      </c>
      <c r="C377" s="24" t="s">
        <v>509</v>
      </c>
      <c r="D377" s="24" t="s">
        <v>510</v>
      </c>
      <c r="E377" s="24"/>
      <c r="F377" s="24" t="s">
        <v>500</v>
      </c>
      <c r="G377" s="24"/>
      <c r="H377" s="24" t="s">
        <v>146</v>
      </c>
      <c r="I377" s="24" t="s">
        <v>501</v>
      </c>
      <c r="J377" s="25" t="s">
        <v>502</v>
      </c>
      <c r="K377" s="25"/>
    </row>
    <row r="378" spans="1:11" ht="66.75">
      <c r="A378" s="23" t="s">
        <v>110</v>
      </c>
      <c r="B378" s="24" t="s">
        <v>511</v>
      </c>
      <c r="C378" s="24" t="s">
        <v>512</v>
      </c>
      <c r="D378" s="24" t="s">
        <v>513</v>
      </c>
      <c r="E378" s="24" t="s">
        <v>514</v>
      </c>
      <c r="F378" s="24" t="s">
        <v>268</v>
      </c>
      <c r="G378" s="24"/>
      <c r="H378" s="24" t="s">
        <v>146</v>
      </c>
      <c r="I378" s="24" t="s">
        <v>877</v>
      </c>
      <c r="J378" s="25" t="s">
        <v>270</v>
      </c>
      <c r="K378" s="25" t="s">
        <v>516</v>
      </c>
    </row>
    <row r="379" spans="1:11" ht="24" customHeight="1">
      <c r="A379" s="23" t="s">
        <v>110</v>
      </c>
      <c r="B379" s="24" t="s">
        <v>517</v>
      </c>
      <c r="C379" s="24" t="s">
        <v>518</v>
      </c>
      <c r="D379" s="24" t="s">
        <v>519</v>
      </c>
      <c r="E379" s="24"/>
      <c r="F379" s="24" t="s">
        <v>152</v>
      </c>
      <c r="G379" s="24"/>
      <c r="H379" s="24" t="s">
        <v>146</v>
      </c>
      <c r="I379" s="24" t="s">
        <v>520</v>
      </c>
      <c r="J379" s="25" t="s">
        <v>154</v>
      </c>
      <c r="K379" s="25"/>
    </row>
    <row r="380" spans="1:11" ht="96">
      <c r="A380" s="23" t="s">
        <v>110</v>
      </c>
      <c r="B380" s="24" t="s">
        <v>542</v>
      </c>
      <c r="C380" s="24" t="s">
        <v>542</v>
      </c>
      <c r="D380" s="24" t="s">
        <v>543</v>
      </c>
      <c r="E380" s="24" t="s">
        <v>544</v>
      </c>
      <c r="F380" s="24" t="s">
        <v>182</v>
      </c>
      <c r="G380" s="24"/>
      <c r="H380" s="24" t="s">
        <v>146</v>
      </c>
      <c r="I380" s="24" t="s">
        <v>545</v>
      </c>
      <c r="J380" s="25" t="s">
        <v>184</v>
      </c>
      <c r="K380" s="25" t="s">
        <v>546</v>
      </c>
    </row>
    <row r="381" spans="1:11" ht="24" customHeight="1">
      <c r="A381" s="23" t="s">
        <v>110</v>
      </c>
      <c r="B381" s="24" t="s">
        <v>547</v>
      </c>
      <c r="C381" s="24" t="s">
        <v>547</v>
      </c>
      <c r="D381" s="24" t="s">
        <v>548</v>
      </c>
      <c r="E381" s="24"/>
      <c r="F381" s="24" t="s">
        <v>549</v>
      </c>
      <c r="G381" s="24"/>
      <c r="H381" s="24" t="s">
        <v>146</v>
      </c>
      <c r="I381" s="24" t="s">
        <v>410</v>
      </c>
      <c r="J381" s="25" t="s">
        <v>550</v>
      </c>
      <c r="K381" s="25"/>
    </row>
    <row r="382" spans="1:11" ht="72">
      <c r="A382" s="23" t="s">
        <v>110</v>
      </c>
      <c r="B382" s="24" t="s">
        <v>551</v>
      </c>
      <c r="C382" s="24" t="s">
        <v>552</v>
      </c>
      <c r="D382" s="24" t="s">
        <v>553</v>
      </c>
      <c r="E382" s="24" t="s">
        <v>554</v>
      </c>
      <c r="F382" s="24" t="s">
        <v>254</v>
      </c>
      <c r="G382" s="24"/>
      <c r="H382" s="24" t="s">
        <v>146</v>
      </c>
      <c r="I382" s="24" t="s">
        <v>555</v>
      </c>
      <c r="J382" s="25" t="s">
        <v>256</v>
      </c>
      <c r="K382" s="25" t="s">
        <v>556</v>
      </c>
    </row>
    <row r="383" spans="1:11" ht="24" customHeight="1">
      <c r="A383" s="23" t="s">
        <v>110</v>
      </c>
      <c r="B383" s="24" t="s">
        <v>557</v>
      </c>
      <c r="C383" s="24" t="s">
        <v>558</v>
      </c>
      <c r="D383" s="24" t="s">
        <v>559</v>
      </c>
      <c r="E383" s="24"/>
      <c r="F383" s="24" t="s">
        <v>152</v>
      </c>
      <c r="G383" s="24"/>
      <c r="H383" s="24" t="s">
        <v>146</v>
      </c>
      <c r="I383" s="24" t="s">
        <v>878</v>
      </c>
      <c r="J383" s="25" t="s">
        <v>154</v>
      </c>
      <c r="K383" s="25"/>
    </row>
    <row r="384" spans="1:11" ht="48">
      <c r="A384" s="23" t="s">
        <v>110</v>
      </c>
      <c r="B384" s="24" t="s">
        <v>561</v>
      </c>
      <c r="C384" s="24" t="s">
        <v>562</v>
      </c>
      <c r="D384" s="24" t="s">
        <v>563</v>
      </c>
      <c r="E384" s="24" t="s">
        <v>564</v>
      </c>
      <c r="F384" s="24" t="s">
        <v>285</v>
      </c>
      <c r="G384" s="24"/>
      <c r="H384" s="24" t="s">
        <v>146</v>
      </c>
      <c r="I384" s="24">
        <v>11532198</v>
      </c>
      <c r="J384" s="25" t="s">
        <v>287</v>
      </c>
      <c r="K384" s="25" t="s">
        <v>565</v>
      </c>
    </row>
    <row r="385" spans="1:11" ht="24" customHeight="1">
      <c r="A385" s="23" t="s">
        <v>110</v>
      </c>
      <c r="B385" s="24" t="s">
        <v>566</v>
      </c>
      <c r="C385" s="24" t="s">
        <v>567</v>
      </c>
      <c r="D385" s="24" t="s">
        <v>568</v>
      </c>
      <c r="E385" s="24"/>
      <c r="F385" s="24" t="s">
        <v>330</v>
      </c>
      <c r="G385" s="24"/>
      <c r="H385" s="24" t="s">
        <v>146</v>
      </c>
      <c r="I385" s="24" t="s">
        <v>569</v>
      </c>
      <c r="J385" s="25" t="s">
        <v>332</v>
      </c>
      <c r="K385" s="25"/>
    </row>
    <row r="386" spans="1:11" ht="24" customHeight="1">
      <c r="A386" s="23" t="s">
        <v>110</v>
      </c>
      <c r="B386" s="24" t="s">
        <v>570</v>
      </c>
      <c r="C386" s="24" t="s">
        <v>571</v>
      </c>
      <c r="D386" s="24" t="s">
        <v>572</v>
      </c>
      <c r="E386" s="24" t="s">
        <v>573</v>
      </c>
      <c r="F386" s="24" t="s">
        <v>268</v>
      </c>
      <c r="G386" s="24"/>
      <c r="H386" s="24" t="s">
        <v>146</v>
      </c>
      <c r="I386" s="24" t="s">
        <v>574</v>
      </c>
      <c r="J386" s="25" t="s">
        <v>270</v>
      </c>
      <c r="K386" s="25" t="s">
        <v>575</v>
      </c>
    </row>
    <row r="387" spans="1:11" ht="24" customHeight="1">
      <c r="A387" s="23" t="s">
        <v>110</v>
      </c>
      <c r="B387" s="24" t="s">
        <v>576</v>
      </c>
      <c r="C387" s="24" t="s">
        <v>577</v>
      </c>
      <c r="D387" s="24" t="s">
        <v>578</v>
      </c>
      <c r="E387" s="24"/>
      <c r="F387" s="24" t="s">
        <v>152</v>
      </c>
      <c r="G387" s="24"/>
      <c r="H387" s="24" t="s">
        <v>146</v>
      </c>
      <c r="I387" s="24" t="s">
        <v>579</v>
      </c>
      <c r="J387" s="25" t="s">
        <v>154</v>
      </c>
      <c r="K387" s="25"/>
    </row>
    <row r="388" spans="1:11" ht="48">
      <c r="A388" s="23" t="s">
        <v>110</v>
      </c>
      <c r="B388" s="24" t="s">
        <v>580</v>
      </c>
      <c r="C388" s="24" t="s">
        <v>581</v>
      </c>
      <c r="D388" s="24" t="s">
        <v>582</v>
      </c>
      <c r="E388" s="24" t="s">
        <v>583</v>
      </c>
      <c r="F388" s="24" t="s">
        <v>285</v>
      </c>
      <c r="G388" s="24"/>
      <c r="H388" s="24" t="s">
        <v>146</v>
      </c>
      <c r="I388" s="24">
        <v>11532198</v>
      </c>
      <c r="J388" s="25" t="s">
        <v>287</v>
      </c>
      <c r="K388" s="25" t="s">
        <v>584</v>
      </c>
    </row>
    <row r="389" spans="1:11" ht="24" customHeight="1">
      <c r="A389" s="23" t="s">
        <v>110</v>
      </c>
      <c r="B389" s="24" t="s">
        <v>585</v>
      </c>
      <c r="C389" s="24" t="s">
        <v>586</v>
      </c>
      <c r="D389" s="24" t="s">
        <v>587</v>
      </c>
      <c r="E389" s="24"/>
      <c r="F389" s="24" t="s">
        <v>330</v>
      </c>
      <c r="G389" s="24"/>
      <c r="H389" s="24" t="s">
        <v>146</v>
      </c>
      <c r="I389" s="24" t="s">
        <v>569</v>
      </c>
      <c r="J389" s="25" t="s">
        <v>332</v>
      </c>
      <c r="K389" s="25"/>
    </row>
    <row r="390" spans="1:11" ht="24" customHeight="1">
      <c r="A390" s="23" t="s">
        <v>110</v>
      </c>
      <c r="B390" s="24" t="s">
        <v>588</v>
      </c>
      <c r="C390" s="24" t="s">
        <v>589</v>
      </c>
      <c r="D390" s="24" t="s">
        <v>590</v>
      </c>
      <c r="E390" s="24" t="s">
        <v>591</v>
      </c>
      <c r="F390" s="24" t="s">
        <v>268</v>
      </c>
      <c r="G390" s="24"/>
      <c r="H390" s="24" t="s">
        <v>146</v>
      </c>
      <c r="I390" s="24" t="s">
        <v>592</v>
      </c>
      <c r="J390" s="25" t="s">
        <v>270</v>
      </c>
      <c r="K390" s="25" t="s">
        <v>593</v>
      </c>
    </row>
    <row r="391" spans="1:11" ht="24" customHeight="1">
      <c r="A391" s="23" t="s">
        <v>110</v>
      </c>
      <c r="B391" s="24" t="s">
        <v>594</v>
      </c>
      <c r="C391" s="24" t="s">
        <v>595</v>
      </c>
      <c r="D391" s="24" t="s">
        <v>596</v>
      </c>
      <c r="E391" s="24"/>
      <c r="F391" s="24" t="s">
        <v>152</v>
      </c>
      <c r="G391" s="24"/>
      <c r="H391" s="24" t="s">
        <v>146</v>
      </c>
      <c r="I391" s="24" t="s">
        <v>579</v>
      </c>
      <c r="J391" s="25" t="s">
        <v>154</v>
      </c>
      <c r="K391" s="25"/>
    </row>
    <row r="392" spans="1:11" ht="24" customHeight="1">
      <c r="A392" s="23" t="s">
        <v>110</v>
      </c>
      <c r="B392" s="24" t="s">
        <v>597</v>
      </c>
      <c r="C392" s="24" t="s">
        <v>598</v>
      </c>
      <c r="D392" s="24" t="s">
        <v>599</v>
      </c>
      <c r="E392" s="24" t="s">
        <v>600</v>
      </c>
      <c r="F392" s="24" t="s">
        <v>218</v>
      </c>
      <c r="G392" s="24"/>
      <c r="H392" s="24" t="s">
        <v>146</v>
      </c>
      <c r="I392" s="24" t="s">
        <v>601</v>
      </c>
      <c r="J392" s="25" t="s">
        <v>220</v>
      </c>
      <c r="K392" s="25" t="s">
        <v>602</v>
      </c>
    </row>
    <row r="393" spans="1:11" ht="24" customHeight="1">
      <c r="A393" s="23" t="s">
        <v>110</v>
      </c>
      <c r="B393" s="24" t="s">
        <v>603</v>
      </c>
      <c r="C393" s="24" t="s">
        <v>604</v>
      </c>
      <c r="D393" s="24" t="s">
        <v>605</v>
      </c>
      <c r="E393" s="24"/>
      <c r="F393" s="24" t="s">
        <v>152</v>
      </c>
      <c r="G393" s="24"/>
      <c r="H393" s="24" t="s">
        <v>146</v>
      </c>
      <c r="I393" s="24" t="s">
        <v>606</v>
      </c>
      <c r="J393" s="25" t="s">
        <v>154</v>
      </c>
      <c r="K393" s="25"/>
    </row>
    <row r="394" spans="1:11" ht="24" customHeight="1">
      <c r="A394" s="23" t="s">
        <v>110</v>
      </c>
      <c r="B394" s="24" t="s">
        <v>607</v>
      </c>
      <c r="C394" s="24" t="s">
        <v>608</v>
      </c>
      <c r="D394" s="24" t="s">
        <v>609</v>
      </c>
      <c r="E394" s="24" t="s">
        <v>610</v>
      </c>
      <c r="F394" s="24" t="s">
        <v>218</v>
      </c>
      <c r="G394" s="24"/>
      <c r="H394" s="24" t="s">
        <v>146</v>
      </c>
      <c r="I394" s="24" t="s">
        <v>601</v>
      </c>
      <c r="J394" s="25" t="s">
        <v>220</v>
      </c>
      <c r="K394" s="25" t="s">
        <v>611</v>
      </c>
    </row>
    <row r="395" spans="1:11" ht="24" customHeight="1">
      <c r="A395" s="23" t="s">
        <v>110</v>
      </c>
      <c r="B395" s="24" t="s">
        <v>612</v>
      </c>
      <c r="C395" s="24" t="s">
        <v>613</v>
      </c>
      <c r="D395" s="24" t="s">
        <v>614</v>
      </c>
      <c r="E395" s="24"/>
      <c r="F395" s="24" t="s">
        <v>152</v>
      </c>
      <c r="G395" s="24"/>
      <c r="H395" s="24" t="s">
        <v>146</v>
      </c>
      <c r="I395" s="24" t="s">
        <v>606</v>
      </c>
      <c r="J395" s="25" t="s">
        <v>154</v>
      </c>
      <c r="K395" s="25"/>
    </row>
    <row r="396" spans="1:11" ht="48">
      <c r="A396" s="23" t="s">
        <v>110</v>
      </c>
      <c r="B396" s="24" t="s">
        <v>615</v>
      </c>
      <c r="C396" s="24" t="s">
        <v>616</v>
      </c>
      <c r="D396" s="24" t="s">
        <v>617</v>
      </c>
      <c r="E396" s="24" t="s">
        <v>618</v>
      </c>
      <c r="F396" s="24" t="s">
        <v>285</v>
      </c>
      <c r="G396" s="24"/>
      <c r="H396" s="24" t="s">
        <v>146</v>
      </c>
      <c r="I396" s="24" t="s">
        <v>619</v>
      </c>
      <c r="J396" s="25" t="s">
        <v>287</v>
      </c>
      <c r="K396" s="25" t="s">
        <v>620</v>
      </c>
    </row>
    <row r="397" spans="1:11" ht="24" customHeight="1">
      <c r="A397" s="23" t="s">
        <v>110</v>
      </c>
      <c r="B397" s="24" t="s">
        <v>621</v>
      </c>
      <c r="C397" s="24" t="s">
        <v>622</v>
      </c>
      <c r="D397" s="24" t="s">
        <v>623</v>
      </c>
      <c r="E397" s="24"/>
      <c r="F397" s="24" t="s">
        <v>392</v>
      </c>
      <c r="G397" s="24"/>
      <c r="H397" s="24" t="s">
        <v>146</v>
      </c>
      <c r="I397" s="24" t="s">
        <v>624</v>
      </c>
      <c r="J397" s="25" t="s">
        <v>394</v>
      </c>
      <c r="K397" s="25"/>
    </row>
    <row r="398" spans="1:11" ht="24" customHeight="1">
      <c r="A398" s="23" t="s">
        <v>110</v>
      </c>
      <c r="B398" s="24" t="s">
        <v>879</v>
      </c>
      <c r="C398" s="24" t="s">
        <v>880</v>
      </c>
      <c r="D398" s="24" t="s">
        <v>881</v>
      </c>
      <c r="E398" s="24" t="s">
        <v>882</v>
      </c>
      <c r="F398" s="24" t="s">
        <v>629</v>
      </c>
      <c r="G398" s="24"/>
      <c r="H398" s="24" t="s">
        <v>146</v>
      </c>
      <c r="I398" s="24" t="s">
        <v>883</v>
      </c>
      <c r="J398" s="25"/>
      <c r="K398" s="25" t="s">
        <v>884</v>
      </c>
    </row>
    <row r="399" spans="1:11" ht="24" customHeight="1">
      <c r="A399" s="23" t="s">
        <v>110</v>
      </c>
      <c r="B399" s="24" t="s">
        <v>885</v>
      </c>
      <c r="C399" s="24" t="s">
        <v>886</v>
      </c>
      <c r="D399" s="24" t="s">
        <v>887</v>
      </c>
      <c r="E399" s="24" t="s">
        <v>888</v>
      </c>
      <c r="F399" s="24" t="s">
        <v>629</v>
      </c>
      <c r="G399" s="24"/>
      <c r="H399" s="24" t="s">
        <v>146</v>
      </c>
      <c r="I399" s="24" t="s">
        <v>889</v>
      </c>
      <c r="J399" s="25" t="s">
        <v>631</v>
      </c>
      <c r="K399" s="25" t="s">
        <v>890</v>
      </c>
    </row>
    <row r="400" spans="1:11" ht="24" customHeight="1">
      <c r="A400" s="23" t="s">
        <v>110</v>
      </c>
      <c r="B400" s="24" t="s">
        <v>891</v>
      </c>
      <c r="C400" s="24" t="s">
        <v>892</v>
      </c>
      <c r="D400" s="24" t="s">
        <v>893</v>
      </c>
      <c r="E400" s="24" t="s">
        <v>894</v>
      </c>
      <c r="F400" s="24" t="s">
        <v>629</v>
      </c>
      <c r="G400" s="24"/>
      <c r="H400" s="24" t="s">
        <v>146</v>
      </c>
      <c r="I400" s="24" t="s">
        <v>895</v>
      </c>
      <c r="J400" s="25" t="s">
        <v>631</v>
      </c>
      <c r="K400" s="25" t="s">
        <v>896</v>
      </c>
    </row>
    <row r="401" spans="1:11" ht="36" customHeight="1">
      <c r="A401" s="23" t="s">
        <v>110</v>
      </c>
      <c r="B401" s="24" t="s">
        <v>897</v>
      </c>
      <c r="C401" s="24" t="s">
        <v>898</v>
      </c>
      <c r="D401" s="24" t="s">
        <v>899</v>
      </c>
      <c r="E401" s="24" t="s">
        <v>900</v>
      </c>
      <c r="F401" s="24" t="s">
        <v>637</v>
      </c>
      <c r="G401" s="24"/>
      <c r="H401" s="24" t="s">
        <v>146</v>
      </c>
      <c r="I401" s="24" t="s">
        <v>901</v>
      </c>
      <c r="J401" s="25" t="s">
        <v>639</v>
      </c>
      <c r="K401" s="25" t="s">
        <v>902</v>
      </c>
    </row>
    <row r="402" spans="1:11" ht="24" customHeight="1">
      <c r="A402" s="23" t="s">
        <v>110</v>
      </c>
      <c r="B402" s="24" t="s">
        <v>903</v>
      </c>
      <c r="C402" s="24" t="s">
        <v>904</v>
      </c>
      <c r="D402" s="24" t="s">
        <v>905</v>
      </c>
      <c r="E402" s="24" t="s">
        <v>906</v>
      </c>
      <c r="F402" s="24" t="s">
        <v>629</v>
      </c>
      <c r="G402" s="24"/>
      <c r="H402" s="24" t="s">
        <v>146</v>
      </c>
      <c r="I402" s="24" t="s">
        <v>907</v>
      </c>
      <c r="J402" s="25" t="s">
        <v>631</v>
      </c>
      <c r="K402" s="25" t="s">
        <v>908</v>
      </c>
    </row>
    <row r="403" spans="1:11" ht="24" customHeight="1">
      <c r="A403" s="23" t="s">
        <v>110</v>
      </c>
      <c r="B403" s="24" t="s">
        <v>909</v>
      </c>
      <c r="C403" s="24" t="s">
        <v>910</v>
      </c>
      <c r="D403" s="24" t="s">
        <v>911</v>
      </c>
      <c r="E403" s="24" t="s">
        <v>912</v>
      </c>
      <c r="F403" s="24" t="s">
        <v>629</v>
      </c>
      <c r="G403" s="24"/>
      <c r="H403" s="24" t="s">
        <v>146</v>
      </c>
      <c r="I403" s="24" t="s">
        <v>895</v>
      </c>
      <c r="J403" s="25" t="s">
        <v>631</v>
      </c>
      <c r="K403" s="25" t="s">
        <v>913</v>
      </c>
    </row>
    <row r="404" spans="1:11" ht="24" customHeight="1">
      <c r="A404" s="23" t="s">
        <v>110</v>
      </c>
      <c r="B404" s="24" t="s">
        <v>914</v>
      </c>
      <c r="C404" s="24" t="s">
        <v>915</v>
      </c>
      <c r="D404" s="24" t="s">
        <v>916</v>
      </c>
      <c r="E404" s="24" t="s">
        <v>917</v>
      </c>
      <c r="F404" s="24" t="s">
        <v>629</v>
      </c>
      <c r="G404" s="24"/>
      <c r="H404" s="24" t="s">
        <v>146</v>
      </c>
      <c r="I404" s="24" t="s">
        <v>918</v>
      </c>
      <c r="J404" s="25" t="s">
        <v>631</v>
      </c>
      <c r="K404" s="25" t="s">
        <v>919</v>
      </c>
    </row>
    <row r="405" spans="1:11" ht="24" customHeight="1">
      <c r="A405" s="23" t="s">
        <v>110</v>
      </c>
      <c r="B405" s="24" t="s">
        <v>920</v>
      </c>
      <c r="C405" s="24" t="s">
        <v>921</v>
      </c>
      <c r="D405" s="24" t="s">
        <v>922</v>
      </c>
      <c r="E405" s="24" t="s">
        <v>923</v>
      </c>
      <c r="F405" s="24" t="s">
        <v>629</v>
      </c>
      <c r="G405" s="24"/>
      <c r="H405" s="24" t="s">
        <v>146</v>
      </c>
      <c r="I405" s="24" t="s">
        <v>924</v>
      </c>
      <c r="J405" s="25" t="s">
        <v>631</v>
      </c>
      <c r="K405" s="25" t="s">
        <v>925</v>
      </c>
    </row>
    <row r="406" spans="1:11" ht="24" customHeight="1">
      <c r="A406" s="23" t="s">
        <v>110</v>
      </c>
      <c r="B406" s="24" t="s">
        <v>926</v>
      </c>
      <c r="C406" s="24" t="s">
        <v>927</v>
      </c>
      <c r="D406" s="24" t="s">
        <v>928</v>
      </c>
      <c r="E406" s="24" t="s">
        <v>929</v>
      </c>
      <c r="F406" s="24" t="s">
        <v>629</v>
      </c>
      <c r="G406" s="24"/>
      <c r="H406" s="24" t="s">
        <v>146</v>
      </c>
      <c r="I406" s="24" t="s">
        <v>835</v>
      </c>
      <c r="J406" s="25" t="s">
        <v>631</v>
      </c>
      <c r="K406" s="25" t="s">
        <v>930</v>
      </c>
    </row>
    <row r="407" spans="1:11" ht="24" customHeight="1">
      <c r="A407" s="23" t="s">
        <v>110</v>
      </c>
      <c r="B407" s="24" t="s">
        <v>931</v>
      </c>
      <c r="C407" s="24" t="s">
        <v>932</v>
      </c>
      <c r="D407" s="24" t="s">
        <v>933</v>
      </c>
      <c r="E407" s="24" t="s">
        <v>934</v>
      </c>
      <c r="F407" s="24" t="s">
        <v>629</v>
      </c>
      <c r="G407" s="24"/>
      <c r="H407" s="24" t="s">
        <v>146</v>
      </c>
      <c r="I407" s="24" t="s">
        <v>935</v>
      </c>
      <c r="J407" s="25" t="s">
        <v>631</v>
      </c>
      <c r="K407" s="25" t="s">
        <v>936</v>
      </c>
    </row>
    <row r="408" spans="1:11" ht="24" customHeight="1">
      <c r="A408" s="23" t="s">
        <v>116</v>
      </c>
      <c r="B408" s="24" t="s">
        <v>937</v>
      </c>
      <c r="C408" s="24" t="s">
        <v>938</v>
      </c>
      <c r="D408" s="24" t="s">
        <v>939</v>
      </c>
      <c r="E408" s="24" t="s">
        <v>940</v>
      </c>
      <c r="F408" s="24" t="s">
        <v>398</v>
      </c>
      <c r="G408" s="24"/>
      <c r="H408" s="24" t="s">
        <v>146</v>
      </c>
      <c r="I408" s="24" t="s">
        <v>423</v>
      </c>
      <c r="J408" s="25" t="s">
        <v>400</v>
      </c>
      <c r="K408" s="25" t="s">
        <v>941</v>
      </c>
    </row>
    <row r="409" spans="1:11" ht="24" customHeight="1">
      <c r="A409" s="23" t="s">
        <v>116</v>
      </c>
      <c r="B409" s="24" t="s">
        <v>141</v>
      </c>
      <c r="C409" s="24" t="s">
        <v>142</v>
      </c>
      <c r="D409" s="24" t="s">
        <v>143</v>
      </c>
      <c r="E409" s="24" t="s">
        <v>144</v>
      </c>
      <c r="F409" s="24" t="s">
        <v>145</v>
      </c>
      <c r="G409" s="24"/>
      <c r="H409" s="24" t="s">
        <v>146</v>
      </c>
      <c r="I409" s="24">
        <v>73</v>
      </c>
      <c r="J409" s="25" t="s">
        <v>147</v>
      </c>
      <c r="K409" s="25" t="s">
        <v>148</v>
      </c>
    </row>
    <row r="410" spans="1:11" ht="24" customHeight="1">
      <c r="A410" s="23" t="s">
        <v>116</v>
      </c>
      <c r="B410" s="24" t="s">
        <v>149</v>
      </c>
      <c r="C410" s="24" t="s">
        <v>150</v>
      </c>
      <c r="D410" s="24" t="s">
        <v>151</v>
      </c>
      <c r="E410" s="24"/>
      <c r="F410" s="24" t="s">
        <v>152</v>
      </c>
      <c r="G410" s="24"/>
      <c r="H410" s="24" t="s">
        <v>146</v>
      </c>
      <c r="I410" s="24" t="s">
        <v>942</v>
      </c>
      <c r="J410" s="25" t="s">
        <v>154</v>
      </c>
      <c r="K410" s="25"/>
    </row>
    <row r="411" spans="1:11" ht="48">
      <c r="A411" s="23" t="s">
        <v>116</v>
      </c>
      <c r="B411" s="24" t="s">
        <v>943</v>
      </c>
      <c r="C411" s="24" t="s">
        <v>944</v>
      </c>
      <c r="D411" s="24" t="s">
        <v>945</v>
      </c>
      <c r="E411" s="24" t="s">
        <v>946</v>
      </c>
      <c r="F411" s="24" t="s">
        <v>285</v>
      </c>
      <c r="G411" s="24"/>
      <c r="H411" s="24" t="s">
        <v>146</v>
      </c>
      <c r="I411" s="24">
        <v>11272136</v>
      </c>
      <c r="J411" s="25" t="s">
        <v>287</v>
      </c>
      <c r="K411" s="25" t="s">
        <v>947</v>
      </c>
    </row>
    <row r="412" spans="1:11" ht="24" customHeight="1">
      <c r="A412" s="23" t="s">
        <v>116</v>
      </c>
      <c r="B412" s="24" t="s">
        <v>948</v>
      </c>
      <c r="C412" s="24" t="s">
        <v>949</v>
      </c>
      <c r="D412" s="24" t="s">
        <v>950</v>
      </c>
      <c r="E412" s="24"/>
      <c r="F412" s="24" t="s">
        <v>152</v>
      </c>
      <c r="G412" s="24"/>
      <c r="H412" s="24" t="s">
        <v>146</v>
      </c>
      <c r="I412" s="24" t="s">
        <v>951</v>
      </c>
      <c r="J412" s="25" t="s">
        <v>154</v>
      </c>
      <c r="K412" s="25"/>
    </row>
    <row r="413" spans="1:11" ht="24" customHeight="1">
      <c r="A413" s="23" t="s">
        <v>116</v>
      </c>
      <c r="B413" s="24" t="s">
        <v>155</v>
      </c>
      <c r="C413" s="24" t="s">
        <v>156</v>
      </c>
      <c r="D413" s="24" t="s">
        <v>157</v>
      </c>
      <c r="E413" s="24" t="s">
        <v>158</v>
      </c>
      <c r="F413" s="24" t="s">
        <v>159</v>
      </c>
      <c r="G413" s="24"/>
      <c r="H413" s="24" t="s">
        <v>146</v>
      </c>
      <c r="I413" s="24">
        <v>889</v>
      </c>
      <c r="J413" s="25" t="s">
        <v>160</v>
      </c>
      <c r="K413" s="25" t="s">
        <v>161</v>
      </c>
    </row>
    <row r="414" spans="1:11" ht="24" customHeight="1">
      <c r="A414" s="23" t="s">
        <v>116</v>
      </c>
      <c r="B414" s="24" t="s">
        <v>162</v>
      </c>
      <c r="C414" s="24" t="s">
        <v>163</v>
      </c>
      <c r="D414" s="24" t="s">
        <v>164</v>
      </c>
      <c r="E414" s="24"/>
      <c r="F414" s="24" t="s">
        <v>152</v>
      </c>
      <c r="G414" s="24"/>
      <c r="H414" s="24" t="s">
        <v>146</v>
      </c>
      <c r="I414" s="24" t="s">
        <v>165</v>
      </c>
      <c r="J414" s="25" t="s">
        <v>154</v>
      </c>
      <c r="K414" s="25"/>
    </row>
    <row r="415" spans="1:11" ht="60">
      <c r="A415" s="23" t="s">
        <v>116</v>
      </c>
      <c r="B415" s="24" t="s">
        <v>166</v>
      </c>
      <c r="C415" s="24" t="s">
        <v>167</v>
      </c>
      <c r="D415" s="24" t="s">
        <v>168</v>
      </c>
      <c r="E415" s="24" t="s">
        <v>169</v>
      </c>
      <c r="F415" s="24" t="s">
        <v>170</v>
      </c>
      <c r="G415" s="24"/>
      <c r="H415" s="24" t="s">
        <v>146</v>
      </c>
      <c r="I415" s="24" t="s">
        <v>171</v>
      </c>
      <c r="J415" s="25" t="s">
        <v>172</v>
      </c>
      <c r="K415" s="25" t="s">
        <v>173</v>
      </c>
    </row>
    <row r="416" spans="1:11" ht="24" customHeight="1">
      <c r="A416" s="23" t="s">
        <v>116</v>
      </c>
      <c r="B416" s="24" t="s">
        <v>174</v>
      </c>
      <c r="C416" s="24" t="s">
        <v>175</v>
      </c>
      <c r="D416" s="24" t="s">
        <v>176</v>
      </c>
      <c r="E416" s="24"/>
      <c r="F416" s="24" t="s">
        <v>152</v>
      </c>
      <c r="G416" s="24"/>
      <c r="H416" s="24" t="s">
        <v>146</v>
      </c>
      <c r="I416" s="24" t="s">
        <v>177</v>
      </c>
      <c r="J416" s="25" t="s">
        <v>154</v>
      </c>
      <c r="K416" s="25"/>
    </row>
    <row r="417" spans="1:11" ht="48">
      <c r="A417" s="23" t="s">
        <v>116</v>
      </c>
      <c r="B417" s="24" t="s">
        <v>178</v>
      </c>
      <c r="C417" s="24" t="s">
        <v>179</v>
      </c>
      <c r="D417" s="24" t="s">
        <v>180</v>
      </c>
      <c r="E417" s="24" t="s">
        <v>181</v>
      </c>
      <c r="F417" s="24" t="s">
        <v>182</v>
      </c>
      <c r="G417" s="24"/>
      <c r="H417" s="24" t="s">
        <v>146</v>
      </c>
      <c r="I417" s="24" t="s">
        <v>183</v>
      </c>
      <c r="J417" s="25" t="s">
        <v>184</v>
      </c>
      <c r="K417" s="25" t="s">
        <v>185</v>
      </c>
    </row>
    <row r="418" spans="1:11" ht="24" customHeight="1">
      <c r="A418" s="23" t="s">
        <v>116</v>
      </c>
      <c r="B418" s="24" t="s">
        <v>186</v>
      </c>
      <c r="C418" s="24" t="s">
        <v>187</v>
      </c>
      <c r="D418" s="24" t="s">
        <v>188</v>
      </c>
      <c r="E418" s="24"/>
      <c r="F418" s="24" t="s">
        <v>189</v>
      </c>
      <c r="G418" s="24"/>
      <c r="H418" s="24" t="s">
        <v>146</v>
      </c>
      <c r="I418" s="24" t="s">
        <v>190</v>
      </c>
      <c r="J418" s="25" t="s">
        <v>191</v>
      </c>
      <c r="K418" s="25"/>
    </row>
    <row r="419" spans="1:11" ht="48">
      <c r="A419" s="23" t="s">
        <v>116</v>
      </c>
      <c r="B419" s="24" t="s">
        <v>192</v>
      </c>
      <c r="C419" s="24" t="s">
        <v>193</v>
      </c>
      <c r="D419" s="24" t="s">
        <v>194</v>
      </c>
      <c r="E419" s="24" t="s">
        <v>195</v>
      </c>
      <c r="F419" s="24" t="s">
        <v>182</v>
      </c>
      <c r="G419" s="24"/>
      <c r="H419" s="24" t="s">
        <v>146</v>
      </c>
      <c r="I419" s="24" t="s">
        <v>183</v>
      </c>
      <c r="J419" s="25" t="s">
        <v>184</v>
      </c>
      <c r="K419" s="25" t="s">
        <v>196</v>
      </c>
    </row>
    <row r="420" spans="1:11" ht="24" customHeight="1">
      <c r="A420" s="23" t="s">
        <v>116</v>
      </c>
      <c r="B420" s="24" t="s">
        <v>197</v>
      </c>
      <c r="C420" s="24" t="s">
        <v>198</v>
      </c>
      <c r="D420" s="24" t="s">
        <v>199</v>
      </c>
      <c r="E420" s="24"/>
      <c r="F420" s="24" t="s">
        <v>200</v>
      </c>
      <c r="G420" s="24"/>
      <c r="H420" s="24" t="s">
        <v>146</v>
      </c>
      <c r="I420" s="24" t="s">
        <v>190</v>
      </c>
      <c r="J420" s="25" t="s">
        <v>201</v>
      </c>
      <c r="K420" s="25"/>
    </row>
    <row r="421" spans="1:11" ht="48">
      <c r="A421" s="23" t="s">
        <v>116</v>
      </c>
      <c r="B421" s="24" t="s">
        <v>952</v>
      </c>
      <c r="C421" s="24" t="s">
        <v>953</v>
      </c>
      <c r="D421" s="24" t="s">
        <v>954</v>
      </c>
      <c r="E421" s="24" t="s">
        <v>955</v>
      </c>
      <c r="F421" s="24" t="s">
        <v>254</v>
      </c>
      <c r="G421" s="24"/>
      <c r="H421" s="24" t="s">
        <v>146</v>
      </c>
      <c r="I421" s="24" t="s">
        <v>956</v>
      </c>
      <c r="J421" s="25" t="s">
        <v>256</v>
      </c>
      <c r="K421" s="25" t="s">
        <v>957</v>
      </c>
    </row>
    <row r="422" spans="1:11" ht="24" customHeight="1">
      <c r="A422" s="23" t="s">
        <v>116</v>
      </c>
      <c r="B422" s="24" t="s">
        <v>958</v>
      </c>
      <c r="C422" s="24" t="s">
        <v>959</v>
      </c>
      <c r="D422" s="24" t="s">
        <v>960</v>
      </c>
      <c r="E422" s="24"/>
      <c r="F422" s="24" t="s">
        <v>152</v>
      </c>
      <c r="G422" s="24"/>
      <c r="H422" s="24" t="s">
        <v>146</v>
      </c>
      <c r="I422" s="24" t="s">
        <v>961</v>
      </c>
      <c r="J422" s="25" t="s">
        <v>154</v>
      </c>
      <c r="K422" s="25"/>
    </row>
    <row r="423" spans="1:11" ht="60">
      <c r="A423" s="23" t="s">
        <v>116</v>
      </c>
      <c r="B423" s="24" t="s">
        <v>264</v>
      </c>
      <c r="C423" s="24" t="s">
        <v>265</v>
      </c>
      <c r="D423" s="24" t="s">
        <v>266</v>
      </c>
      <c r="E423" s="24" t="s">
        <v>267</v>
      </c>
      <c r="F423" s="24" t="s">
        <v>268</v>
      </c>
      <c r="G423" s="24"/>
      <c r="H423" s="24" t="s">
        <v>146</v>
      </c>
      <c r="I423" s="24" t="s">
        <v>962</v>
      </c>
      <c r="J423" s="25" t="s">
        <v>270</v>
      </c>
      <c r="K423" s="25" t="s">
        <v>271</v>
      </c>
    </row>
    <row r="424" spans="1:11" ht="24" customHeight="1">
      <c r="A424" s="23" t="s">
        <v>116</v>
      </c>
      <c r="B424" s="24" t="s">
        <v>272</v>
      </c>
      <c r="C424" s="24" t="s">
        <v>273</v>
      </c>
      <c r="D424" s="24" t="s">
        <v>274</v>
      </c>
      <c r="E424" s="24"/>
      <c r="F424" s="24" t="s">
        <v>152</v>
      </c>
      <c r="G424" s="24"/>
      <c r="H424" s="24" t="s">
        <v>146</v>
      </c>
      <c r="I424" s="24" t="s">
        <v>963</v>
      </c>
      <c r="J424" s="25" t="s">
        <v>154</v>
      </c>
      <c r="K424" s="25"/>
    </row>
    <row r="425" spans="1:11" ht="36">
      <c r="A425" s="23" t="s">
        <v>116</v>
      </c>
      <c r="B425" s="24" t="s">
        <v>299</v>
      </c>
      <c r="C425" s="24" t="s">
        <v>300</v>
      </c>
      <c r="D425" s="24" t="s">
        <v>301</v>
      </c>
      <c r="E425" s="24" t="s">
        <v>302</v>
      </c>
      <c r="F425" s="24" t="s">
        <v>218</v>
      </c>
      <c r="G425" s="24"/>
      <c r="H425" s="24" t="s">
        <v>146</v>
      </c>
      <c r="I425" s="24" t="s">
        <v>964</v>
      </c>
      <c r="J425" s="25" t="s">
        <v>220</v>
      </c>
      <c r="K425" s="25" t="s">
        <v>304</v>
      </c>
    </row>
    <row r="426" spans="1:11" ht="24" customHeight="1">
      <c r="A426" s="23" t="s">
        <v>116</v>
      </c>
      <c r="B426" s="24" t="s">
        <v>305</v>
      </c>
      <c r="C426" s="24" t="s">
        <v>306</v>
      </c>
      <c r="D426" s="24" t="s">
        <v>307</v>
      </c>
      <c r="E426" s="24"/>
      <c r="F426" s="24" t="s">
        <v>308</v>
      </c>
      <c r="G426" s="24"/>
      <c r="H426" s="24" t="s">
        <v>146</v>
      </c>
      <c r="I426" s="24" t="s">
        <v>965</v>
      </c>
      <c r="J426" s="25" t="s">
        <v>310</v>
      </c>
      <c r="K426" s="25"/>
    </row>
    <row r="427" spans="1:11" ht="24">
      <c r="A427" s="23" t="s">
        <v>116</v>
      </c>
      <c r="B427" s="24" t="s">
        <v>678</v>
      </c>
      <c r="C427" s="24" t="s">
        <v>679</v>
      </c>
      <c r="D427" s="24" t="s">
        <v>680</v>
      </c>
      <c r="E427" s="24" t="s">
        <v>681</v>
      </c>
      <c r="F427" s="24" t="s">
        <v>254</v>
      </c>
      <c r="G427" s="24"/>
      <c r="H427" s="24" t="s">
        <v>146</v>
      </c>
      <c r="I427" s="24" t="s">
        <v>874</v>
      </c>
      <c r="J427" s="25" t="s">
        <v>256</v>
      </c>
      <c r="K427" s="25" t="s">
        <v>682</v>
      </c>
    </row>
    <row r="428" spans="1:11" ht="24" customHeight="1">
      <c r="A428" s="23" t="s">
        <v>116</v>
      </c>
      <c r="B428" s="24" t="s">
        <v>683</v>
      </c>
      <c r="C428" s="24" t="s">
        <v>684</v>
      </c>
      <c r="D428" s="24" t="s">
        <v>685</v>
      </c>
      <c r="E428" s="24"/>
      <c r="F428" s="24" t="s">
        <v>152</v>
      </c>
      <c r="G428" s="24"/>
      <c r="H428" s="24" t="s">
        <v>146</v>
      </c>
      <c r="I428" s="24" t="s">
        <v>875</v>
      </c>
      <c r="J428" s="25" t="s">
        <v>154</v>
      </c>
      <c r="K428" s="25"/>
    </row>
    <row r="429" spans="1:11" ht="24" customHeight="1">
      <c r="A429" s="23" t="s">
        <v>116</v>
      </c>
      <c r="B429" s="24" t="s">
        <v>311</v>
      </c>
      <c r="C429" s="24" t="s">
        <v>312</v>
      </c>
      <c r="D429" s="24" t="s">
        <v>313</v>
      </c>
      <c r="E429" s="24" t="s">
        <v>314</v>
      </c>
      <c r="F429" s="24" t="s">
        <v>145</v>
      </c>
      <c r="G429" s="24"/>
      <c r="H429" s="24" t="s">
        <v>146</v>
      </c>
      <c r="I429" s="24">
        <v>1</v>
      </c>
      <c r="J429" s="25" t="s">
        <v>315</v>
      </c>
      <c r="K429" s="25" t="s">
        <v>316</v>
      </c>
    </row>
    <row r="430" spans="1:11" ht="24" customHeight="1">
      <c r="A430" s="23" t="s">
        <v>116</v>
      </c>
      <c r="B430" s="24" t="s">
        <v>317</v>
      </c>
      <c r="C430" s="24" t="s">
        <v>318</v>
      </c>
      <c r="D430" s="24" t="s">
        <v>319</v>
      </c>
      <c r="E430" s="24"/>
      <c r="F430" s="24" t="s">
        <v>152</v>
      </c>
      <c r="G430" s="24"/>
      <c r="H430" s="24" t="s">
        <v>146</v>
      </c>
      <c r="I430" s="24" t="s">
        <v>320</v>
      </c>
      <c r="J430" s="25" t="s">
        <v>154</v>
      </c>
      <c r="K430" s="25"/>
    </row>
    <row r="431" spans="1:11" ht="60">
      <c r="A431" s="23" t="s">
        <v>116</v>
      </c>
      <c r="B431" s="24" t="s">
        <v>966</v>
      </c>
      <c r="C431" s="24" t="s">
        <v>967</v>
      </c>
      <c r="D431" s="24" t="s">
        <v>968</v>
      </c>
      <c r="E431" s="24" t="s">
        <v>969</v>
      </c>
      <c r="F431" s="24" t="s">
        <v>170</v>
      </c>
      <c r="G431" s="24"/>
      <c r="H431" s="24" t="s">
        <v>146</v>
      </c>
      <c r="I431" s="24" t="s">
        <v>23</v>
      </c>
      <c r="J431" s="25" t="s">
        <v>172</v>
      </c>
      <c r="K431" s="25" t="s">
        <v>970</v>
      </c>
    </row>
    <row r="432" spans="1:11" ht="24">
      <c r="A432" s="23" t="s">
        <v>116</v>
      </c>
      <c r="B432" s="24" t="s">
        <v>971</v>
      </c>
      <c r="C432" s="24" t="s">
        <v>972</v>
      </c>
      <c r="D432" s="24" t="s">
        <v>973</v>
      </c>
      <c r="E432" s="24"/>
      <c r="F432" s="24" t="s">
        <v>170</v>
      </c>
      <c r="G432" s="24"/>
      <c r="H432" s="24" t="s">
        <v>146</v>
      </c>
      <c r="I432" s="24" t="s">
        <v>23</v>
      </c>
      <c r="J432" s="25" t="s">
        <v>172</v>
      </c>
      <c r="K432" s="25"/>
    </row>
    <row r="433" spans="1:11" ht="36">
      <c r="A433" s="23" t="s">
        <v>116</v>
      </c>
      <c r="B433" s="24" t="s">
        <v>974</v>
      </c>
      <c r="C433" s="24" t="s">
        <v>975</v>
      </c>
      <c r="D433" s="24" t="s">
        <v>976</v>
      </c>
      <c r="E433" s="24" t="s">
        <v>977</v>
      </c>
      <c r="F433" s="24" t="s">
        <v>182</v>
      </c>
      <c r="G433" s="24"/>
      <c r="H433" s="24" t="s">
        <v>146</v>
      </c>
      <c r="I433" s="24" t="s">
        <v>183</v>
      </c>
      <c r="J433" s="25" t="s">
        <v>184</v>
      </c>
      <c r="K433" s="25" t="s">
        <v>978</v>
      </c>
    </row>
    <row r="434" spans="1:11" ht="24" customHeight="1">
      <c r="A434" s="23" t="s">
        <v>116</v>
      </c>
      <c r="B434" s="24" t="s">
        <v>979</v>
      </c>
      <c r="C434" s="24" t="s">
        <v>980</v>
      </c>
      <c r="D434" s="24" t="s">
        <v>981</v>
      </c>
      <c r="E434" s="24"/>
      <c r="F434" s="24" t="s">
        <v>189</v>
      </c>
      <c r="G434" s="24"/>
      <c r="H434" s="24" t="s">
        <v>146</v>
      </c>
      <c r="I434" s="24" t="s">
        <v>190</v>
      </c>
      <c r="J434" s="25" t="s">
        <v>191</v>
      </c>
      <c r="K434" s="25"/>
    </row>
    <row r="435" spans="1:11" ht="24" customHeight="1">
      <c r="A435" s="23" t="s">
        <v>116</v>
      </c>
      <c r="B435" s="24" t="s">
        <v>982</v>
      </c>
      <c r="C435" s="24" t="s">
        <v>983</v>
      </c>
      <c r="D435" s="24" t="s">
        <v>982</v>
      </c>
      <c r="E435" s="24" t="s">
        <v>984</v>
      </c>
      <c r="F435" s="24" t="s">
        <v>985</v>
      </c>
      <c r="G435" s="24"/>
      <c r="H435" s="24" t="s">
        <v>146</v>
      </c>
      <c r="I435" s="24" t="s">
        <v>986</v>
      </c>
      <c r="J435" s="25" t="s">
        <v>987</v>
      </c>
      <c r="K435" s="25" t="s">
        <v>988</v>
      </c>
    </row>
    <row r="436" spans="1:11" ht="24" customHeight="1">
      <c r="A436" s="23" t="s">
        <v>116</v>
      </c>
      <c r="B436" s="24" t="s">
        <v>989</v>
      </c>
      <c r="C436" s="24" t="s">
        <v>990</v>
      </c>
      <c r="D436" s="24" t="s">
        <v>991</v>
      </c>
      <c r="E436" s="24"/>
      <c r="F436" s="24" t="s">
        <v>992</v>
      </c>
      <c r="G436" s="24"/>
      <c r="H436" s="24" t="s">
        <v>146</v>
      </c>
      <c r="I436" s="24" t="s">
        <v>993</v>
      </c>
      <c r="J436" s="25" t="s">
        <v>994</v>
      </c>
      <c r="K436" s="25"/>
    </row>
    <row r="437" spans="1:11" ht="24" customHeight="1">
      <c r="A437" s="23" t="s">
        <v>116</v>
      </c>
      <c r="B437" s="24" t="s">
        <v>321</v>
      </c>
      <c r="C437" s="24" t="s">
        <v>322</v>
      </c>
      <c r="D437" s="24" t="s">
        <v>323</v>
      </c>
      <c r="E437" s="24" t="s">
        <v>324</v>
      </c>
      <c r="F437" s="24" t="s">
        <v>285</v>
      </c>
      <c r="G437" s="24"/>
      <c r="H437" s="24" t="s">
        <v>146</v>
      </c>
      <c r="I437" s="24" t="s">
        <v>995</v>
      </c>
      <c r="J437" s="25" t="s">
        <v>287</v>
      </c>
      <c r="K437" s="25" t="s">
        <v>326</v>
      </c>
    </row>
    <row r="438" spans="1:11" ht="24" customHeight="1">
      <c r="A438" s="23" t="s">
        <v>116</v>
      </c>
      <c r="B438" s="24" t="s">
        <v>327</v>
      </c>
      <c r="C438" s="24" t="s">
        <v>328</v>
      </c>
      <c r="D438" s="24" t="s">
        <v>329</v>
      </c>
      <c r="E438" s="24"/>
      <c r="F438" s="24" t="s">
        <v>330</v>
      </c>
      <c r="G438" s="24"/>
      <c r="H438" s="24" t="s">
        <v>146</v>
      </c>
      <c r="I438" s="24" t="s">
        <v>996</v>
      </c>
      <c r="J438" s="25" t="s">
        <v>332</v>
      </c>
      <c r="K438" s="25"/>
    </row>
    <row r="439" spans="1:11" ht="24" customHeight="1">
      <c r="A439" s="23" t="s">
        <v>116</v>
      </c>
      <c r="B439" s="24" t="s">
        <v>333</v>
      </c>
      <c r="C439" s="24" t="s">
        <v>334</v>
      </c>
      <c r="D439" s="24" t="s">
        <v>335</v>
      </c>
      <c r="E439" s="24" t="s">
        <v>336</v>
      </c>
      <c r="F439" s="24" t="s">
        <v>285</v>
      </c>
      <c r="G439" s="24"/>
      <c r="H439" s="24" t="s">
        <v>146</v>
      </c>
      <c r="I439" s="24">
        <v>447716</v>
      </c>
      <c r="J439" s="25" t="s">
        <v>287</v>
      </c>
      <c r="K439" s="25" t="s">
        <v>337</v>
      </c>
    </row>
    <row r="440" spans="1:11" ht="24" customHeight="1">
      <c r="A440" s="23" t="s">
        <v>116</v>
      </c>
      <c r="B440" s="24" t="s">
        <v>338</v>
      </c>
      <c r="C440" s="24" t="s">
        <v>339</v>
      </c>
      <c r="D440" s="24" t="s">
        <v>340</v>
      </c>
      <c r="E440" s="24"/>
      <c r="F440" s="24" t="s">
        <v>330</v>
      </c>
      <c r="G440" s="24"/>
      <c r="H440" s="24" t="s">
        <v>146</v>
      </c>
      <c r="I440" s="24" t="s">
        <v>996</v>
      </c>
      <c r="J440" s="25" t="s">
        <v>332</v>
      </c>
      <c r="K440" s="25"/>
    </row>
    <row r="441" spans="1:11" ht="24" customHeight="1">
      <c r="A441" s="23" t="s">
        <v>116</v>
      </c>
      <c r="B441" s="24" t="s">
        <v>341</v>
      </c>
      <c r="C441" s="24" t="s">
        <v>342</v>
      </c>
      <c r="D441" s="24" t="s">
        <v>343</v>
      </c>
      <c r="E441" s="24" t="s">
        <v>344</v>
      </c>
      <c r="F441" s="24" t="s">
        <v>182</v>
      </c>
      <c r="G441" s="24"/>
      <c r="H441" s="24" t="s">
        <v>146</v>
      </c>
      <c r="I441" s="24">
        <v>73</v>
      </c>
      <c r="J441" s="25" t="s">
        <v>184</v>
      </c>
      <c r="K441" s="25" t="s">
        <v>345</v>
      </c>
    </row>
    <row r="442" spans="1:11" ht="24" customHeight="1">
      <c r="A442" s="23" t="s">
        <v>116</v>
      </c>
      <c r="B442" s="24" t="s">
        <v>346</v>
      </c>
      <c r="C442" s="24" t="s">
        <v>347</v>
      </c>
      <c r="D442" s="24" t="s">
        <v>348</v>
      </c>
      <c r="E442" s="24"/>
      <c r="F442" s="24" t="s">
        <v>285</v>
      </c>
      <c r="G442" s="24"/>
      <c r="H442" s="24" t="s">
        <v>146</v>
      </c>
      <c r="I442" s="24" t="s">
        <v>942</v>
      </c>
      <c r="J442" s="25" t="s">
        <v>287</v>
      </c>
      <c r="K442" s="25"/>
    </row>
    <row r="443" spans="1:11" ht="36">
      <c r="A443" s="23" t="s">
        <v>116</v>
      </c>
      <c r="B443" s="24" t="s">
        <v>349</v>
      </c>
      <c r="C443" s="24" t="s">
        <v>350</v>
      </c>
      <c r="D443" s="24" t="s">
        <v>351</v>
      </c>
      <c r="E443" s="24" t="s">
        <v>352</v>
      </c>
      <c r="F443" s="24" t="s">
        <v>218</v>
      </c>
      <c r="G443" s="24"/>
      <c r="H443" s="24" t="s">
        <v>146</v>
      </c>
      <c r="I443" s="24" t="s">
        <v>997</v>
      </c>
      <c r="J443" s="25" t="s">
        <v>220</v>
      </c>
      <c r="K443" s="25" t="s">
        <v>354</v>
      </c>
    </row>
    <row r="444" spans="1:11" ht="24" customHeight="1">
      <c r="A444" s="23" t="s">
        <v>116</v>
      </c>
      <c r="B444" s="24" t="s">
        <v>355</v>
      </c>
      <c r="C444" s="24" t="s">
        <v>356</v>
      </c>
      <c r="D444" s="24" t="s">
        <v>357</v>
      </c>
      <c r="E444" s="24"/>
      <c r="F444" s="24" t="s">
        <v>152</v>
      </c>
      <c r="G444" s="24"/>
      <c r="H444" s="24" t="s">
        <v>146</v>
      </c>
      <c r="I444" s="24" t="s">
        <v>998</v>
      </c>
      <c r="J444" s="25" t="s">
        <v>154</v>
      </c>
      <c r="K444" s="25"/>
    </row>
    <row r="445" spans="1:11" ht="36">
      <c r="A445" s="23" t="s">
        <v>116</v>
      </c>
      <c r="B445" s="24" t="s">
        <v>358</v>
      </c>
      <c r="C445" s="24" t="s">
        <v>359</v>
      </c>
      <c r="D445" s="24" t="s">
        <v>360</v>
      </c>
      <c r="E445" s="24" t="s">
        <v>361</v>
      </c>
      <c r="F445" s="24" t="s">
        <v>218</v>
      </c>
      <c r="G445" s="24"/>
      <c r="H445" s="24" t="s">
        <v>146</v>
      </c>
      <c r="I445" s="24">
        <v>306</v>
      </c>
      <c r="J445" s="25" t="s">
        <v>220</v>
      </c>
      <c r="K445" s="25" t="s">
        <v>362</v>
      </c>
    </row>
    <row r="446" spans="1:11" ht="24" customHeight="1">
      <c r="A446" s="23" t="s">
        <v>116</v>
      </c>
      <c r="B446" s="24" t="s">
        <v>363</v>
      </c>
      <c r="C446" s="24" t="s">
        <v>364</v>
      </c>
      <c r="D446" s="24" t="s">
        <v>365</v>
      </c>
      <c r="E446" s="24"/>
      <c r="F446" s="24" t="s">
        <v>152</v>
      </c>
      <c r="G446" s="24"/>
      <c r="H446" s="24" t="s">
        <v>146</v>
      </c>
      <c r="I446" s="24" t="s">
        <v>998</v>
      </c>
      <c r="J446" s="25" t="s">
        <v>154</v>
      </c>
      <c r="K446" s="25"/>
    </row>
    <row r="447" spans="1:11" ht="36">
      <c r="A447" s="23" t="s">
        <v>116</v>
      </c>
      <c r="B447" s="24" t="s">
        <v>366</v>
      </c>
      <c r="C447" s="24" t="s">
        <v>367</v>
      </c>
      <c r="D447" s="24" t="s">
        <v>368</v>
      </c>
      <c r="E447" s="24" t="s">
        <v>369</v>
      </c>
      <c r="F447" s="24" t="s">
        <v>218</v>
      </c>
      <c r="G447" s="24"/>
      <c r="H447" s="24" t="s">
        <v>146</v>
      </c>
      <c r="I447" s="24">
        <v>141</v>
      </c>
      <c r="J447" s="25" t="s">
        <v>220</v>
      </c>
      <c r="K447" s="25" t="s">
        <v>370</v>
      </c>
    </row>
    <row r="448" spans="1:11" ht="24" customHeight="1">
      <c r="A448" s="23" t="s">
        <v>116</v>
      </c>
      <c r="B448" s="24" t="s">
        <v>371</v>
      </c>
      <c r="C448" s="24" t="s">
        <v>372</v>
      </c>
      <c r="D448" s="24" t="s">
        <v>373</v>
      </c>
      <c r="E448" s="24"/>
      <c r="F448" s="24" t="s">
        <v>152</v>
      </c>
      <c r="G448" s="24"/>
      <c r="H448" s="24" t="s">
        <v>146</v>
      </c>
      <c r="I448" s="24" t="s">
        <v>999</v>
      </c>
      <c r="J448" s="25" t="s">
        <v>154</v>
      </c>
      <c r="K448" s="25"/>
    </row>
    <row r="449" spans="1:11" ht="24" customHeight="1">
      <c r="A449" s="23" t="s">
        <v>116</v>
      </c>
      <c r="B449" s="24" t="s">
        <v>375</v>
      </c>
      <c r="C449" s="24" t="s">
        <v>376</v>
      </c>
      <c r="D449" s="24" t="s">
        <v>377</v>
      </c>
      <c r="E449" s="24" t="s">
        <v>378</v>
      </c>
      <c r="F449" s="24" t="s">
        <v>254</v>
      </c>
      <c r="G449" s="24"/>
      <c r="H449" s="24" t="s">
        <v>146</v>
      </c>
      <c r="I449" s="24" t="s">
        <v>1000</v>
      </c>
      <c r="J449" s="25" t="s">
        <v>256</v>
      </c>
      <c r="K449" s="25" t="s">
        <v>380</v>
      </c>
    </row>
    <row r="450" spans="1:11" ht="24" customHeight="1">
      <c r="A450" s="23" t="s">
        <v>116</v>
      </c>
      <c r="B450" s="24" t="s">
        <v>381</v>
      </c>
      <c r="C450" s="24" t="s">
        <v>382</v>
      </c>
      <c r="D450" s="24" t="s">
        <v>383</v>
      </c>
      <c r="E450" s="24"/>
      <c r="F450" s="24" t="s">
        <v>152</v>
      </c>
      <c r="G450" s="24"/>
      <c r="H450" s="24" t="s">
        <v>146</v>
      </c>
      <c r="I450" s="24" t="s">
        <v>999</v>
      </c>
      <c r="J450" s="25" t="s">
        <v>154</v>
      </c>
      <c r="K450" s="25"/>
    </row>
    <row r="451" spans="1:11" ht="48">
      <c r="A451" s="23" t="s">
        <v>116</v>
      </c>
      <c r="B451" s="24" t="s">
        <v>384</v>
      </c>
      <c r="C451" s="24" t="s">
        <v>385</v>
      </c>
      <c r="D451" s="24" t="s">
        <v>386</v>
      </c>
      <c r="E451" s="24" t="s">
        <v>387</v>
      </c>
      <c r="F451" s="24" t="s">
        <v>285</v>
      </c>
      <c r="G451" s="24"/>
      <c r="H451" s="24" t="s">
        <v>146</v>
      </c>
      <c r="I451" s="24">
        <v>88366353</v>
      </c>
      <c r="J451" s="25" t="s">
        <v>287</v>
      </c>
      <c r="K451" s="25" t="s">
        <v>388</v>
      </c>
    </row>
    <row r="452" spans="1:11" ht="24" customHeight="1">
      <c r="A452" s="23" t="s">
        <v>116</v>
      </c>
      <c r="B452" s="24" t="s">
        <v>389</v>
      </c>
      <c r="C452" s="24" t="s">
        <v>390</v>
      </c>
      <c r="D452" s="24" t="s">
        <v>391</v>
      </c>
      <c r="E452" s="24"/>
      <c r="F452" s="24" t="s">
        <v>392</v>
      </c>
      <c r="G452" s="24"/>
      <c r="H452" s="24" t="s">
        <v>146</v>
      </c>
      <c r="I452" s="24" t="s">
        <v>1001</v>
      </c>
      <c r="J452" s="25" t="s">
        <v>394</v>
      </c>
      <c r="K452" s="25"/>
    </row>
    <row r="453" spans="1:11" ht="24" customHeight="1">
      <c r="A453" s="23" t="s">
        <v>116</v>
      </c>
      <c r="B453" s="24" t="s">
        <v>1002</v>
      </c>
      <c r="C453" s="24" t="s">
        <v>1003</v>
      </c>
      <c r="D453" s="24" t="s">
        <v>1002</v>
      </c>
      <c r="E453" s="24" t="s">
        <v>1004</v>
      </c>
      <c r="F453" s="24" t="s">
        <v>145</v>
      </c>
      <c r="G453" s="24"/>
      <c r="H453" s="24" t="s">
        <v>146</v>
      </c>
      <c r="I453" s="24">
        <v>30</v>
      </c>
      <c r="J453" s="25" t="s">
        <v>1005</v>
      </c>
      <c r="K453" s="25" t="s">
        <v>1006</v>
      </c>
    </row>
    <row r="454" spans="1:11" ht="24" customHeight="1">
      <c r="A454" s="23" t="s">
        <v>116</v>
      </c>
      <c r="B454" s="24" t="s">
        <v>1007</v>
      </c>
      <c r="C454" s="24" t="s">
        <v>1008</v>
      </c>
      <c r="D454" s="24" t="s">
        <v>1009</v>
      </c>
      <c r="E454" s="24"/>
      <c r="F454" s="24" t="s">
        <v>1010</v>
      </c>
      <c r="G454" s="24"/>
      <c r="H454" s="24" t="s">
        <v>146</v>
      </c>
      <c r="I454" s="24" t="s">
        <v>1011</v>
      </c>
      <c r="J454" s="25" t="s">
        <v>1012</v>
      </c>
      <c r="K454" s="25"/>
    </row>
    <row r="455" spans="1:11" ht="24" customHeight="1">
      <c r="A455" s="23" t="s">
        <v>116</v>
      </c>
      <c r="B455" s="24" t="s">
        <v>402</v>
      </c>
      <c r="C455" s="24" t="s">
        <v>403</v>
      </c>
      <c r="D455" s="24" t="s">
        <v>404</v>
      </c>
      <c r="E455" s="24" t="s">
        <v>405</v>
      </c>
      <c r="F455" s="24" t="s">
        <v>230</v>
      </c>
      <c r="G455" s="24"/>
      <c r="H455" s="24" t="s">
        <v>146</v>
      </c>
      <c r="I455" s="24">
        <v>73060</v>
      </c>
      <c r="J455" s="25" t="s">
        <v>232</v>
      </c>
      <c r="K455" s="25" t="s">
        <v>406</v>
      </c>
    </row>
    <row r="456" spans="1:11" ht="24" customHeight="1">
      <c r="A456" s="23" t="s">
        <v>116</v>
      </c>
      <c r="B456" s="24" t="s">
        <v>407</v>
      </c>
      <c r="C456" s="24" t="s">
        <v>408</v>
      </c>
      <c r="D456" s="24" t="s">
        <v>409</v>
      </c>
      <c r="E456" s="24"/>
      <c r="F456" s="24" t="s">
        <v>152</v>
      </c>
      <c r="G456" s="24"/>
      <c r="H456" s="24" t="s">
        <v>146</v>
      </c>
      <c r="I456" s="24" t="s">
        <v>1013</v>
      </c>
      <c r="J456" s="25" t="s">
        <v>154</v>
      </c>
      <c r="K456" s="25"/>
    </row>
    <row r="457" spans="1:11" ht="48">
      <c r="A457" s="23" t="s">
        <v>116</v>
      </c>
      <c r="B457" s="24" t="s">
        <v>411</v>
      </c>
      <c r="C457" s="24" t="s">
        <v>412</v>
      </c>
      <c r="D457" s="24" t="s">
        <v>411</v>
      </c>
      <c r="E457" s="24" t="s">
        <v>413</v>
      </c>
      <c r="F457" s="24" t="s">
        <v>254</v>
      </c>
      <c r="G457" s="24"/>
      <c r="H457" s="24" t="s">
        <v>146</v>
      </c>
      <c r="I457" s="24" t="s">
        <v>956</v>
      </c>
      <c r="J457" s="25" t="s">
        <v>256</v>
      </c>
      <c r="K457" s="25" t="s">
        <v>415</v>
      </c>
    </row>
    <row r="458" spans="1:11" ht="24" customHeight="1">
      <c r="A458" s="23" t="s">
        <v>116</v>
      </c>
      <c r="B458" s="24" t="s">
        <v>416</v>
      </c>
      <c r="C458" s="24" t="s">
        <v>417</v>
      </c>
      <c r="D458" s="24" t="s">
        <v>418</v>
      </c>
      <c r="E458" s="24"/>
      <c r="F458" s="24" t="s">
        <v>152</v>
      </c>
      <c r="G458" s="24"/>
      <c r="H458" s="24" t="s">
        <v>146</v>
      </c>
      <c r="I458" s="24" t="s">
        <v>961</v>
      </c>
      <c r="J458" s="25" t="s">
        <v>154</v>
      </c>
      <c r="K458" s="25"/>
    </row>
    <row r="459" spans="1:11" ht="48">
      <c r="A459" s="23" t="s">
        <v>116</v>
      </c>
      <c r="B459" s="24" t="s">
        <v>425</v>
      </c>
      <c r="C459" s="24" t="s">
        <v>426</v>
      </c>
      <c r="D459" s="24" t="s">
        <v>427</v>
      </c>
      <c r="E459" s="24" t="s">
        <v>428</v>
      </c>
      <c r="F459" s="24" t="s">
        <v>182</v>
      </c>
      <c r="G459" s="24"/>
      <c r="H459" s="24" t="s">
        <v>146</v>
      </c>
      <c r="I459" s="24">
        <v>73</v>
      </c>
      <c r="J459" s="25" t="s">
        <v>184</v>
      </c>
      <c r="K459" s="25" t="s">
        <v>429</v>
      </c>
    </row>
    <row r="460" spans="1:11" ht="24" customHeight="1">
      <c r="A460" s="23" t="s">
        <v>116</v>
      </c>
      <c r="B460" s="24" t="s">
        <v>430</v>
      </c>
      <c r="C460" s="24" t="s">
        <v>431</v>
      </c>
      <c r="D460" s="24" t="s">
        <v>432</v>
      </c>
      <c r="E460" s="24"/>
      <c r="F460" s="24" t="s">
        <v>200</v>
      </c>
      <c r="G460" s="24"/>
      <c r="H460" s="24" t="s">
        <v>146</v>
      </c>
      <c r="I460" s="24" t="s">
        <v>942</v>
      </c>
      <c r="J460" s="25" t="s">
        <v>201</v>
      </c>
      <c r="K460" s="25"/>
    </row>
    <row r="461" spans="1:11" ht="24">
      <c r="A461" s="23" t="s">
        <v>116</v>
      </c>
      <c r="B461" s="24" t="s">
        <v>433</v>
      </c>
      <c r="C461" s="24" t="s">
        <v>434</v>
      </c>
      <c r="D461" s="24" t="s">
        <v>435</v>
      </c>
      <c r="E461" s="24" t="s">
        <v>436</v>
      </c>
      <c r="F461" s="24" t="s">
        <v>182</v>
      </c>
      <c r="G461" s="24"/>
      <c r="H461" s="24" t="s">
        <v>146</v>
      </c>
      <c r="I461" s="24">
        <v>31</v>
      </c>
      <c r="J461" s="25" t="s">
        <v>184</v>
      </c>
      <c r="K461" s="25" t="s">
        <v>437</v>
      </c>
    </row>
    <row r="462" spans="1:11" ht="24" customHeight="1">
      <c r="A462" s="23" t="s">
        <v>116</v>
      </c>
      <c r="B462" s="24" t="s">
        <v>438</v>
      </c>
      <c r="C462" s="24" t="s">
        <v>439</v>
      </c>
      <c r="D462" s="24" t="s">
        <v>440</v>
      </c>
      <c r="E462" s="24"/>
      <c r="F462" s="24" t="s">
        <v>152</v>
      </c>
      <c r="G462" s="24"/>
      <c r="H462" s="24" t="s">
        <v>146</v>
      </c>
      <c r="I462" s="24" t="s">
        <v>1014</v>
      </c>
      <c r="J462" s="25" t="s">
        <v>154</v>
      </c>
      <c r="K462" s="25"/>
    </row>
    <row r="463" spans="1:11" ht="24">
      <c r="A463" s="23" t="s">
        <v>116</v>
      </c>
      <c r="B463" s="24" t="s">
        <v>442</v>
      </c>
      <c r="C463" s="24" t="s">
        <v>443</v>
      </c>
      <c r="D463" s="24" t="s">
        <v>444</v>
      </c>
      <c r="E463" s="24" t="s">
        <v>445</v>
      </c>
      <c r="F463" s="24" t="s">
        <v>218</v>
      </c>
      <c r="G463" s="24"/>
      <c r="H463" s="24" t="s">
        <v>146</v>
      </c>
      <c r="I463" s="24" t="s">
        <v>1015</v>
      </c>
      <c r="J463" s="25" t="s">
        <v>220</v>
      </c>
      <c r="K463" s="25" t="s">
        <v>447</v>
      </c>
    </row>
    <row r="464" spans="1:11" ht="24" customHeight="1">
      <c r="A464" s="23" t="s">
        <v>116</v>
      </c>
      <c r="B464" s="24" t="s">
        <v>448</v>
      </c>
      <c r="C464" s="24" t="s">
        <v>449</v>
      </c>
      <c r="D464" s="24" t="s">
        <v>450</v>
      </c>
      <c r="E464" s="24"/>
      <c r="F464" s="24" t="s">
        <v>152</v>
      </c>
      <c r="G464" s="24"/>
      <c r="H464" s="24" t="s">
        <v>146</v>
      </c>
      <c r="I464" s="24" t="s">
        <v>1016</v>
      </c>
      <c r="J464" s="25" t="s">
        <v>154</v>
      </c>
      <c r="K464" s="25"/>
    </row>
    <row r="465" spans="1:11" ht="24">
      <c r="A465" s="23" t="s">
        <v>116</v>
      </c>
      <c r="B465" s="24" t="s">
        <v>452</v>
      </c>
      <c r="C465" s="24" t="s">
        <v>453</v>
      </c>
      <c r="D465" s="24" t="s">
        <v>454</v>
      </c>
      <c r="E465" s="24" t="s">
        <v>455</v>
      </c>
      <c r="F465" s="24" t="s">
        <v>218</v>
      </c>
      <c r="G465" s="24"/>
      <c r="H465" s="24" t="s">
        <v>146</v>
      </c>
      <c r="I465" s="24" t="s">
        <v>1017</v>
      </c>
      <c r="J465" s="25" t="s">
        <v>220</v>
      </c>
      <c r="K465" s="25" t="s">
        <v>457</v>
      </c>
    </row>
    <row r="466" spans="1:11" ht="24" customHeight="1">
      <c r="A466" s="23" t="s">
        <v>116</v>
      </c>
      <c r="B466" s="24" t="s">
        <v>458</v>
      </c>
      <c r="C466" s="24" t="s">
        <v>459</v>
      </c>
      <c r="D466" s="24" t="s">
        <v>460</v>
      </c>
      <c r="E466" s="24"/>
      <c r="F466" s="24" t="s">
        <v>152</v>
      </c>
      <c r="G466" s="24"/>
      <c r="H466" s="24" t="s">
        <v>146</v>
      </c>
      <c r="I466" s="24" t="s">
        <v>1018</v>
      </c>
      <c r="J466" s="25" t="s">
        <v>154</v>
      </c>
      <c r="K466" s="25"/>
    </row>
    <row r="467" spans="1:11" ht="24">
      <c r="A467" s="23" t="s">
        <v>116</v>
      </c>
      <c r="B467" s="24" t="s">
        <v>462</v>
      </c>
      <c r="C467" s="24" t="s">
        <v>463</v>
      </c>
      <c r="D467" s="24" t="s">
        <v>464</v>
      </c>
      <c r="E467" s="24" t="s">
        <v>465</v>
      </c>
      <c r="F467" s="24" t="s">
        <v>170</v>
      </c>
      <c r="G467" s="24"/>
      <c r="H467" s="24" t="s">
        <v>146</v>
      </c>
      <c r="I467" s="24" t="s">
        <v>23</v>
      </c>
      <c r="J467" s="25" t="s">
        <v>172</v>
      </c>
      <c r="K467" s="25" t="s">
        <v>466</v>
      </c>
    </row>
    <row r="468" spans="1:11" ht="24" customHeight="1">
      <c r="A468" s="23" t="s">
        <v>116</v>
      </c>
      <c r="B468" s="24" t="s">
        <v>467</v>
      </c>
      <c r="C468" s="24" t="s">
        <v>468</v>
      </c>
      <c r="D468" s="24" t="s">
        <v>469</v>
      </c>
      <c r="E468" s="24"/>
      <c r="F468" s="24" t="s">
        <v>152</v>
      </c>
      <c r="G468" s="24"/>
      <c r="H468" s="24" t="s">
        <v>146</v>
      </c>
      <c r="I468" s="24" t="s">
        <v>1019</v>
      </c>
      <c r="J468" s="25" t="s">
        <v>154</v>
      </c>
      <c r="K468" s="25"/>
    </row>
    <row r="469" spans="1:11" ht="36">
      <c r="A469" s="23" t="s">
        <v>116</v>
      </c>
      <c r="B469" s="24" t="s">
        <v>471</v>
      </c>
      <c r="C469" s="24" t="s">
        <v>472</v>
      </c>
      <c r="D469" s="24" t="s">
        <v>473</v>
      </c>
      <c r="E469" s="24" t="s">
        <v>474</v>
      </c>
      <c r="F469" s="24" t="s">
        <v>170</v>
      </c>
      <c r="G469" s="24"/>
      <c r="H469" s="24" t="s">
        <v>146</v>
      </c>
      <c r="I469" s="24" t="s">
        <v>23</v>
      </c>
      <c r="J469" s="25" t="s">
        <v>172</v>
      </c>
      <c r="K469" s="25" t="s">
        <v>475</v>
      </c>
    </row>
    <row r="470" spans="1:11" ht="24" customHeight="1">
      <c r="A470" s="23" t="s">
        <v>116</v>
      </c>
      <c r="B470" s="24" t="s">
        <v>476</v>
      </c>
      <c r="C470" s="24" t="s">
        <v>477</v>
      </c>
      <c r="D470" s="24" t="s">
        <v>478</v>
      </c>
      <c r="E470" s="24"/>
      <c r="F470" s="24" t="s">
        <v>152</v>
      </c>
      <c r="G470" s="24"/>
      <c r="H470" s="24" t="s">
        <v>146</v>
      </c>
      <c r="I470" s="24" t="s">
        <v>1019</v>
      </c>
      <c r="J470" s="25" t="s">
        <v>154</v>
      </c>
      <c r="K470" s="25"/>
    </row>
    <row r="471" spans="1:11" ht="24" customHeight="1">
      <c r="A471" s="23" t="s">
        <v>116</v>
      </c>
      <c r="B471" s="24" t="s">
        <v>479</v>
      </c>
      <c r="C471" s="24" t="s">
        <v>480</v>
      </c>
      <c r="D471" s="24" t="s">
        <v>481</v>
      </c>
      <c r="E471" s="24" t="s">
        <v>482</v>
      </c>
      <c r="F471" s="24" t="s">
        <v>483</v>
      </c>
      <c r="G471" s="24"/>
      <c r="H471" s="24" t="s">
        <v>146</v>
      </c>
      <c r="I471" s="24" t="s">
        <v>1020</v>
      </c>
      <c r="J471" s="25" t="s">
        <v>485</v>
      </c>
      <c r="K471" s="25" t="s">
        <v>486</v>
      </c>
    </row>
    <row r="472" spans="1:11" ht="24" customHeight="1">
      <c r="A472" s="23" t="s">
        <v>116</v>
      </c>
      <c r="B472" s="24" t="s">
        <v>487</v>
      </c>
      <c r="C472" s="24" t="s">
        <v>488</v>
      </c>
      <c r="D472" s="24" t="s">
        <v>489</v>
      </c>
      <c r="E472" s="24"/>
      <c r="F472" s="24" t="s">
        <v>392</v>
      </c>
      <c r="G472" s="24"/>
      <c r="H472" s="24" t="s">
        <v>146</v>
      </c>
      <c r="I472" s="24" t="s">
        <v>1021</v>
      </c>
      <c r="J472" s="25" t="s">
        <v>394</v>
      </c>
      <c r="K472" s="25"/>
    </row>
    <row r="473" spans="1:11" ht="36">
      <c r="A473" s="23" t="s">
        <v>116</v>
      </c>
      <c r="B473" s="24" t="s">
        <v>491</v>
      </c>
      <c r="C473" s="24" t="s">
        <v>492</v>
      </c>
      <c r="D473" s="24" t="s">
        <v>493</v>
      </c>
      <c r="E473" s="24" t="s">
        <v>494</v>
      </c>
      <c r="F473" s="24" t="s">
        <v>182</v>
      </c>
      <c r="G473" s="24"/>
      <c r="H473" s="24" t="s">
        <v>146</v>
      </c>
      <c r="I473" s="24" t="s">
        <v>495</v>
      </c>
      <c r="J473" s="25" t="s">
        <v>184</v>
      </c>
      <c r="K473" s="25" t="s">
        <v>496</v>
      </c>
    </row>
    <row r="474" spans="1:11" ht="24" customHeight="1">
      <c r="A474" s="23" t="s">
        <v>116</v>
      </c>
      <c r="B474" s="24" t="s">
        <v>497</v>
      </c>
      <c r="C474" s="24" t="s">
        <v>498</v>
      </c>
      <c r="D474" s="24" t="s">
        <v>499</v>
      </c>
      <c r="E474" s="24"/>
      <c r="F474" s="24" t="s">
        <v>500</v>
      </c>
      <c r="G474" s="24"/>
      <c r="H474" s="24" t="s">
        <v>146</v>
      </c>
      <c r="I474" s="24" t="s">
        <v>501</v>
      </c>
      <c r="J474" s="25" t="s">
        <v>502</v>
      </c>
      <c r="K474" s="25"/>
    </row>
    <row r="475" spans="1:11" ht="36">
      <c r="A475" s="23" t="s">
        <v>116</v>
      </c>
      <c r="B475" s="24" t="s">
        <v>503</v>
      </c>
      <c r="C475" s="24" t="s">
        <v>504</v>
      </c>
      <c r="D475" s="24" t="s">
        <v>505</v>
      </c>
      <c r="E475" s="24" t="s">
        <v>506</v>
      </c>
      <c r="F475" s="24" t="s">
        <v>182</v>
      </c>
      <c r="G475" s="24"/>
      <c r="H475" s="24" t="s">
        <v>146</v>
      </c>
      <c r="I475" s="24" t="s">
        <v>495</v>
      </c>
      <c r="J475" s="25" t="s">
        <v>184</v>
      </c>
      <c r="K475" s="25" t="s">
        <v>507</v>
      </c>
    </row>
    <row r="476" spans="1:11" ht="24" customHeight="1">
      <c r="A476" s="23" t="s">
        <v>116</v>
      </c>
      <c r="B476" s="24" t="s">
        <v>508</v>
      </c>
      <c r="C476" s="24" t="s">
        <v>509</v>
      </c>
      <c r="D476" s="24" t="s">
        <v>510</v>
      </c>
      <c r="E476" s="24"/>
      <c r="F476" s="24" t="s">
        <v>500</v>
      </c>
      <c r="G476" s="24"/>
      <c r="H476" s="24" t="s">
        <v>146</v>
      </c>
      <c r="I476" s="24" t="s">
        <v>501</v>
      </c>
      <c r="J476" s="25" t="s">
        <v>502</v>
      </c>
      <c r="K476" s="25"/>
    </row>
    <row r="477" spans="1:11" ht="66.75">
      <c r="A477" s="23" t="s">
        <v>116</v>
      </c>
      <c r="B477" s="24" t="s">
        <v>511</v>
      </c>
      <c r="C477" s="24" t="s">
        <v>512</v>
      </c>
      <c r="D477" s="24" t="s">
        <v>513</v>
      </c>
      <c r="E477" s="24" t="s">
        <v>514</v>
      </c>
      <c r="F477" s="24" t="s">
        <v>268</v>
      </c>
      <c r="G477" s="24"/>
      <c r="H477" s="24" t="s">
        <v>146</v>
      </c>
      <c r="I477" s="24" t="s">
        <v>1022</v>
      </c>
      <c r="J477" s="25" t="s">
        <v>270</v>
      </c>
      <c r="K477" s="25" t="s">
        <v>516</v>
      </c>
    </row>
    <row r="478" spans="1:11" ht="24" customHeight="1">
      <c r="A478" s="23" t="s">
        <v>116</v>
      </c>
      <c r="B478" s="24" t="s">
        <v>517</v>
      </c>
      <c r="C478" s="24" t="s">
        <v>518</v>
      </c>
      <c r="D478" s="24" t="s">
        <v>519</v>
      </c>
      <c r="E478" s="24"/>
      <c r="F478" s="24" t="s">
        <v>152</v>
      </c>
      <c r="G478" s="24"/>
      <c r="H478" s="24" t="s">
        <v>146</v>
      </c>
      <c r="I478" s="24" t="s">
        <v>1013</v>
      </c>
      <c r="J478" s="25" t="s">
        <v>154</v>
      </c>
      <c r="K478" s="25"/>
    </row>
    <row r="479" spans="1:11" ht="96">
      <c r="A479" s="23" t="s">
        <v>116</v>
      </c>
      <c r="B479" s="24" t="s">
        <v>542</v>
      </c>
      <c r="C479" s="24" t="s">
        <v>542</v>
      </c>
      <c r="D479" s="24" t="s">
        <v>543</v>
      </c>
      <c r="E479" s="24" t="s">
        <v>544</v>
      </c>
      <c r="F479" s="24" t="s">
        <v>182</v>
      </c>
      <c r="G479" s="24"/>
      <c r="H479" s="24" t="s">
        <v>146</v>
      </c>
      <c r="I479" s="24" t="s">
        <v>1023</v>
      </c>
      <c r="J479" s="25" t="s">
        <v>184</v>
      </c>
      <c r="K479" s="25" t="s">
        <v>546</v>
      </c>
    </row>
    <row r="480" spans="1:11" ht="24" customHeight="1">
      <c r="A480" s="23" t="s">
        <v>116</v>
      </c>
      <c r="B480" s="24" t="s">
        <v>547</v>
      </c>
      <c r="C480" s="24" t="s">
        <v>547</v>
      </c>
      <c r="D480" s="24" t="s">
        <v>548</v>
      </c>
      <c r="E480" s="24"/>
      <c r="F480" s="24" t="s">
        <v>549</v>
      </c>
      <c r="G480" s="24"/>
      <c r="H480" s="24" t="s">
        <v>146</v>
      </c>
      <c r="I480" s="24" t="s">
        <v>942</v>
      </c>
      <c r="J480" s="25" t="s">
        <v>550</v>
      </c>
      <c r="K480" s="25"/>
    </row>
    <row r="481" spans="1:11" ht="48">
      <c r="A481" s="23" t="s">
        <v>116</v>
      </c>
      <c r="B481" s="24" t="s">
        <v>561</v>
      </c>
      <c r="C481" s="24" t="s">
        <v>562</v>
      </c>
      <c r="D481" s="24" t="s">
        <v>563</v>
      </c>
      <c r="E481" s="24" t="s">
        <v>564</v>
      </c>
      <c r="F481" s="24" t="s">
        <v>285</v>
      </c>
      <c r="G481" s="24"/>
      <c r="H481" s="24" t="s">
        <v>146</v>
      </c>
      <c r="I481" s="24">
        <v>11226375</v>
      </c>
      <c r="J481" s="25" t="s">
        <v>287</v>
      </c>
      <c r="K481" s="25" t="s">
        <v>565</v>
      </c>
    </row>
    <row r="482" spans="1:11" ht="24" customHeight="1">
      <c r="A482" s="23" t="s">
        <v>116</v>
      </c>
      <c r="B482" s="24" t="s">
        <v>566</v>
      </c>
      <c r="C482" s="24" t="s">
        <v>567</v>
      </c>
      <c r="D482" s="24" t="s">
        <v>568</v>
      </c>
      <c r="E482" s="24"/>
      <c r="F482" s="24" t="s">
        <v>330</v>
      </c>
      <c r="G482" s="24"/>
      <c r="H482" s="24" t="s">
        <v>146</v>
      </c>
      <c r="I482" s="24" t="s">
        <v>1024</v>
      </c>
      <c r="J482" s="25" t="s">
        <v>332</v>
      </c>
      <c r="K482" s="25"/>
    </row>
    <row r="483" spans="1:11" ht="24" customHeight="1">
      <c r="A483" s="23" t="s">
        <v>116</v>
      </c>
      <c r="B483" s="24" t="s">
        <v>570</v>
      </c>
      <c r="C483" s="24" t="s">
        <v>571</v>
      </c>
      <c r="D483" s="24" t="s">
        <v>572</v>
      </c>
      <c r="E483" s="24" t="s">
        <v>573</v>
      </c>
      <c r="F483" s="24" t="s">
        <v>268</v>
      </c>
      <c r="G483" s="24"/>
      <c r="H483" s="24" t="s">
        <v>146</v>
      </c>
      <c r="I483" s="24" t="s">
        <v>1025</v>
      </c>
      <c r="J483" s="25" t="s">
        <v>270</v>
      </c>
      <c r="K483" s="25" t="s">
        <v>575</v>
      </c>
    </row>
    <row r="484" spans="1:11" ht="24" customHeight="1">
      <c r="A484" s="23" t="s">
        <v>116</v>
      </c>
      <c r="B484" s="24" t="s">
        <v>576</v>
      </c>
      <c r="C484" s="24" t="s">
        <v>577</v>
      </c>
      <c r="D484" s="24" t="s">
        <v>578</v>
      </c>
      <c r="E484" s="24"/>
      <c r="F484" s="24" t="s">
        <v>152</v>
      </c>
      <c r="G484" s="24"/>
      <c r="H484" s="24" t="s">
        <v>146</v>
      </c>
      <c r="I484" s="24" t="s">
        <v>1026</v>
      </c>
      <c r="J484" s="25" t="s">
        <v>154</v>
      </c>
      <c r="K484" s="25"/>
    </row>
    <row r="485" spans="1:11" ht="48">
      <c r="A485" s="23" t="s">
        <v>116</v>
      </c>
      <c r="B485" s="24" t="s">
        <v>580</v>
      </c>
      <c r="C485" s="24" t="s">
        <v>581</v>
      </c>
      <c r="D485" s="24" t="s">
        <v>582</v>
      </c>
      <c r="E485" s="24" t="s">
        <v>583</v>
      </c>
      <c r="F485" s="24" t="s">
        <v>285</v>
      </c>
      <c r="G485" s="24"/>
      <c r="H485" s="24" t="s">
        <v>146</v>
      </c>
      <c r="I485" s="24">
        <v>11226375</v>
      </c>
      <c r="J485" s="25" t="s">
        <v>287</v>
      </c>
      <c r="K485" s="25" t="s">
        <v>584</v>
      </c>
    </row>
    <row r="486" spans="1:11" ht="24" customHeight="1">
      <c r="A486" s="23" t="s">
        <v>116</v>
      </c>
      <c r="B486" s="24" t="s">
        <v>585</v>
      </c>
      <c r="C486" s="24" t="s">
        <v>586</v>
      </c>
      <c r="D486" s="24" t="s">
        <v>587</v>
      </c>
      <c r="E486" s="24"/>
      <c r="F486" s="24" t="s">
        <v>330</v>
      </c>
      <c r="G486" s="24"/>
      <c r="H486" s="24" t="s">
        <v>146</v>
      </c>
      <c r="I486" s="24" t="s">
        <v>1024</v>
      </c>
      <c r="J486" s="25" t="s">
        <v>332</v>
      </c>
      <c r="K486" s="25"/>
    </row>
    <row r="487" spans="1:11" ht="24" customHeight="1">
      <c r="A487" s="23" t="s">
        <v>116</v>
      </c>
      <c r="B487" s="24" t="s">
        <v>588</v>
      </c>
      <c r="C487" s="24" t="s">
        <v>589</v>
      </c>
      <c r="D487" s="24" t="s">
        <v>590</v>
      </c>
      <c r="E487" s="24" t="s">
        <v>591</v>
      </c>
      <c r="F487" s="24" t="s">
        <v>268</v>
      </c>
      <c r="G487" s="24"/>
      <c r="H487" s="24" t="s">
        <v>146</v>
      </c>
      <c r="I487" s="24" t="s">
        <v>1025</v>
      </c>
      <c r="J487" s="25" t="s">
        <v>270</v>
      </c>
      <c r="K487" s="25" t="s">
        <v>593</v>
      </c>
    </row>
    <row r="488" spans="1:11" ht="24" customHeight="1">
      <c r="A488" s="23" t="s">
        <v>116</v>
      </c>
      <c r="B488" s="24" t="s">
        <v>594</v>
      </c>
      <c r="C488" s="24" t="s">
        <v>595</v>
      </c>
      <c r="D488" s="24" t="s">
        <v>596</v>
      </c>
      <c r="E488" s="24"/>
      <c r="F488" s="24" t="s">
        <v>152</v>
      </c>
      <c r="G488" s="24"/>
      <c r="H488" s="24" t="s">
        <v>146</v>
      </c>
      <c r="I488" s="24" t="s">
        <v>1026</v>
      </c>
      <c r="J488" s="25" t="s">
        <v>154</v>
      </c>
      <c r="K488" s="25"/>
    </row>
    <row r="489" spans="1:11" ht="24" customHeight="1">
      <c r="A489" s="23" t="s">
        <v>116</v>
      </c>
      <c r="B489" s="24" t="s">
        <v>597</v>
      </c>
      <c r="C489" s="24" t="s">
        <v>598</v>
      </c>
      <c r="D489" s="24" t="s">
        <v>599</v>
      </c>
      <c r="E489" s="24" t="s">
        <v>600</v>
      </c>
      <c r="F489" s="24" t="s">
        <v>218</v>
      </c>
      <c r="G489" s="24"/>
      <c r="H489" s="24" t="s">
        <v>146</v>
      </c>
      <c r="I489" s="24" t="s">
        <v>601</v>
      </c>
      <c r="J489" s="25" t="s">
        <v>220</v>
      </c>
      <c r="K489" s="25" t="s">
        <v>602</v>
      </c>
    </row>
    <row r="490" spans="1:11" ht="24" customHeight="1">
      <c r="A490" s="23" t="s">
        <v>116</v>
      </c>
      <c r="B490" s="24" t="s">
        <v>603</v>
      </c>
      <c r="C490" s="24" t="s">
        <v>604</v>
      </c>
      <c r="D490" s="24" t="s">
        <v>605</v>
      </c>
      <c r="E490" s="24"/>
      <c r="F490" s="24" t="s">
        <v>152</v>
      </c>
      <c r="G490" s="24"/>
      <c r="H490" s="24" t="s">
        <v>146</v>
      </c>
      <c r="I490" s="24" t="s">
        <v>606</v>
      </c>
      <c r="J490" s="25" t="s">
        <v>154</v>
      </c>
      <c r="K490" s="25"/>
    </row>
    <row r="491" spans="1:11" ht="24" customHeight="1">
      <c r="A491" s="23" t="s">
        <v>116</v>
      </c>
      <c r="B491" s="24" t="s">
        <v>607</v>
      </c>
      <c r="C491" s="24" t="s">
        <v>608</v>
      </c>
      <c r="D491" s="24" t="s">
        <v>609</v>
      </c>
      <c r="E491" s="24" t="s">
        <v>610</v>
      </c>
      <c r="F491" s="24" t="s">
        <v>218</v>
      </c>
      <c r="G491" s="24"/>
      <c r="H491" s="24" t="s">
        <v>146</v>
      </c>
      <c r="I491" s="24" t="s">
        <v>601</v>
      </c>
      <c r="J491" s="25" t="s">
        <v>220</v>
      </c>
      <c r="K491" s="25" t="s">
        <v>611</v>
      </c>
    </row>
    <row r="492" spans="1:11" ht="24" customHeight="1">
      <c r="A492" s="23" t="s">
        <v>116</v>
      </c>
      <c r="B492" s="24" t="s">
        <v>612</v>
      </c>
      <c r="C492" s="24" t="s">
        <v>613</v>
      </c>
      <c r="D492" s="24" t="s">
        <v>614</v>
      </c>
      <c r="E492" s="24"/>
      <c r="F492" s="24" t="s">
        <v>152</v>
      </c>
      <c r="G492" s="24"/>
      <c r="H492" s="24" t="s">
        <v>146</v>
      </c>
      <c r="I492" s="24" t="s">
        <v>606</v>
      </c>
      <c r="J492" s="25" t="s">
        <v>154</v>
      </c>
      <c r="K492" s="25"/>
    </row>
    <row r="493" spans="1:11" ht="24" customHeight="1">
      <c r="A493" s="23" t="s">
        <v>116</v>
      </c>
      <c r="B493" s="24" t="s">
        <v>1027</v>
      </c>
      <c r="C493" s="24" t="s">
        <v>1028</v>
      </c>
      <c r="D493" s="24" t="s">
        <v>1029</v>
      </c>
      <c r="E493" s="24" t="s">
        <v>1030</v>
      </c>
      <c r="F493" s="24" t="s">
        <v>398</v>
      </c>
      <c r="G493" s="24"/>
      <c r="H493" s="24" t="s">
        <v>146</v>
      </c>
      <c r="I493" s="24" t="s">
        <v>1031</v>
      </c>
      <c r="J493" s="25" t="s">
        <v>400</v>
      </c>
      <c r="K493" s="25" t="s">
        <v>1032</v>
      </c>
    </row>
    <row r="494" spans="1:11" ht="24" customHeight="1">
      <c r="A494" s="23" t="s">
        <v>116</v>
      </c>
      <c r="B494" s="24" t="s">
        <v>1033</v>
      </c>
      <c r="C494" s="24" t="s">
        <v>1034</v>
      </c>
      <c r="D494" s="24" t="s">
        <v>1035</v>
      </c>
      <c r="E494" s="24" t="s">
        <v>1036</v>
      </c>
      <c r="F494" s="24" t="s">
        <v>398</v>
      </c>
      <c r="G494" s="24"/>
      <c r="H494" s="24" t="s">
        <v>146</v>
      </c>
      <c r="I494" s="24" t="s">
        <v>1031</v>
      </c>
      <c r="J494" s="25" t="s">
        <v>400</v>
      </c>
      <c r="K494" s="25" t="s">
        <v>1037</v>
      </c>
    </row>
    <row r="495" spans="1:11" ht="24" customHeight="1">
      <c r="A495" s="23" t="s">
        <v>116</v>
      </c>
      <c r="B495" s="24" t="s">
        <v>1038</v>
      </c>
      <c r="C495" s="24" t="s">
        <v>1039</v>
      </c>
      <c r="D495" s="24" t="s">
        <v>1040</v>
      </c>
      <c r="E495" s="24" t="s">
        <v>1041</v>
      </c>
      <c r="F495" s="24" t="s">
        <v>985</v>
      </c>
      <c r="G495" s="24"/>
      <c r="H495" s="24" t="s">
        <v>146</v>
      </c>
      <c r="I495" s="24" t="s">
        <v>1042</v>
      </c>
      <c r="J495" s="25" t="s">
        <v>987</v>
      </c>
      <c r="K495" s="25" t="s">
        <v>1043</v>
      </c>
    </row>
    <row r="496" spans="1:11" ht="24" customHeight="1">
      <c r="A496" s="23" t="s">
        <v>116</v>
      </c>
      <c r="B496" s="24" t="s">
        <v>1044</v>
      </c>
      <c r="C496" s="24" t="s">
        <v>1045</v>
      </c>
      <c r="D496" s="24" t="s">
        <v>1046</v>
      </c>
      <c r="E496" s="24"/>
      <c r="F496" s="24" t="s">
        <v>992</v>
      </c>
      <c r="G496" s="24"/>
      <c r="H496" s="24" t="s">
        <v>146</v>
      </c>
      <c r="I496" s="24" t="s">
        <v>993</v>
      </c>
      <c r="J496" s="25" t="s">
        <v>994</v>
      </c>
      <c r="K496" s="25"/>
    </row>
    <row r="497" spans="1:11" ht="36">
      <c r="A497" s="23" t="s">
        <v>116</v>
      </c>
      <c r="B497" s="24" t="s">
        <v>1047</v>
      </c>
      <c r="C497" s="24" t="s">
        <v>1048</v>
      </c>
      <c r="D497" s="24" t="s">
        <v>1049</v>
      </c>
      <c r="E497" s="24" t="s">
        <v>1050</v>
      </c>
      <c r="F497" s="24" t="s">
        <v>170</v>
      </c>
      <c r="G497" s="24"/>
      <c r="H497" s="24" t="s">
        <v>146</v>
      </c>
      <c r="I497" s="24" t="s">
        <v>23</v>
      </c>
      <c r="J497" s="25" t="s">
        <v>172</v>
      </c>
      <c r="K497" s="25" t="s">
        <v>1051</v>
      </c>
    </row>
    <row r="498" spans="1:11">
      <c r="A498" s="23" t="s">
        <v>116</v>
      </c>
      <c r="B498" s="24" t="s">
        <v>1052</v>
      </c>
      <c r="C498" s="24" t="s">
        <v>1053</v>
      </c>
      <c r="D498" s="24" t="s">
        <v>1054</v>
      </c>
      <c r="E498" s="24"/>
      <c r="F498" s="24" t="s">
        <v>170</v>
      </c>
      <c r="G498" s="24"/>
      <c r="H498" s="24" t="s">
        <v>146</v>
      </c>
      <c r="I498" s="24" t="s">
        <v>23</v>
      </c>
      <c r="J498" s="25" t="s">
        <v>172</v>
      </c>
      <c r="K498" s="25"/>
    </row>
    <row r="499" spans="1:11" ht="24" customHeight="1">
      <c r="A499" s="23" t="s">
        <v>116</v>
      </c>
      <c r="B499" s="24" t="s">
        <v>1055</v>
      </c>
      <c r="C499" s="24" t="s">
        <v>1056</v>
      </c>
      <c r="D499" s="24" t="s">
        <v>1057</v>
      </c>
      <c r="E499" s="24" t="s">
        <v>1058</v>
      </c>
      <c r="F499" s="24" t="s">
        <v>500</v>
      </c>
      <c r="G499" s="24"/>
      <c r="H499" s="24" t="s">
        <v>146</v>
      </c>
      <c r="I499" s="24" t="s">
        <v>1059</v>
      </c>
      <c r="J499" s="25" t="s">
        <v>502</v>
      </c>
      <c r="K499" s="25" t="s">
        <v>1060</v>
      </c>
    </row>
    <row r="500" spans="1:11" ht="24" customHeight="1">
      <c r="A500" s="23" t="s">
        <v>116</v>
      </c>
      <c r="B500" s="24" t="s">
        <v>1061</v>
      </c>
      <c r="C500" s="24" t="s">
        <v>1062</v>
      </c>
      <c r="D500" s="24" t="s">
        <v>1063</v>
      </c>
      <c r="E500" s="24"/>
      <c r="F500" s="24" t="s">
        <v>392</v>
      </c>
      <c r="G500" s="24"/>
      <c r="H500" s="24" t="s">
        <v>146</v>
      </c>
      <c r="I500" s="24" t="s">
        <v>1024</v>
      </c>
      <c r="J500" s="25" t="s">
        <v>394</v>
      </c>
      <c r="K500" s="25"/>
    </row>
    <row r="501" spans="1:11" ht="48">
      <c r="A501" s="23" t="s">
        <v>116</v>
      </c>
      <c r="B501" s="24" t="s">
        <v>615</v>
      </c>
      <c r="C501" s="24" t="s">
        <v>616</v>
      </c>
      <c r="D501" s="24" t="s">
        <v>617</v>
      </c>
      <c r="E501" s="24" t="s">
        <v>618</v>
      </c>
      <c r="F501" s="24" t="s">
        <v>285</v>
      </c>
      <c r="G501" s="24"/>
      <c r="H501" s="24" t="s">
        <v>146</v>
      </c>
      <c r="I501" s="24" t="s">
        <v>1020</v>
      </c>
      <c r="J501" s="25" t="s">
        <v>287</v>
      </c>
      <c r="K501" s="25" t="s">
        <v>620</v>
      </c>
    </row>
    <row r="502" spans="1:11" ht="24" customHeight="1">
      <c r="A502" s="23" t="s">
        <v>116</v>
      </c>
      <c r="B502" s="24" t="s">
        <v>621</v>
      </c>
      <c r="C502" s="24" t="s">
        <v>622</v>
      </c>
      <c r="D502" s="24" t="s">
        <v>623</v>
      </c>
      <c r="E502" s="24"/>
      <c r="F502" s="24" t="s">
        <v>392</v>
      </c>
      <c r="G502" s="24"/>
      <c r="H502" s="24" t="s">
        <v>146</v>
      </c>
      <c r="I502" s="24" t="s">
        <v>1021</v>
      </c>
      <c r="J502" s="25" t="s">
        <v>394</v>
      </c>
      <c r="K502" s="25"/>
    </row>
    <row r="503" spans="1:11" ht="24" customHeight="1">
      <c r="A503" s="23" t="s">
        <v>116</v>
      </c>
      <c r="B503" s="24" t="s">
        <v>1064</v>
      </c>
      <c r="C503" s="24" t="s">
        <v>1065</v>
      </c>
      <c r="D503" s="24" t="s">
        <v>1066</v>
      </c>
      <c r="E503" s="24" t="s">
        <v>1067</v>
      </c>
      <c r="F503" s="24" t="s">
        <v>637</v>
      </c>
      <c r="G503" s="24"/>
      <c r="H503" s="24" t="s">
        <v>146</v>
      </c>
      <c r="I503" s="24" t="s">
        <v>1068</v>
      </c>
      <c r="J503" s="25" t="s">
        <v>1069</v>
      </c>
      <c r="K503" s="25" t="s">
        <v>1070</v>
      </c>
    </row>
    <row r="504" spans="1:11" ht="24" customHeight="1">
      <c r="A504" s="23" t="s">
        <v>116</v>
      </c>
      <c r="B504" s="24" t="s">
        <v>1071</v>
      </c>
      <c r="C504" s="24" t="s">
        <v>1072</v>
      </c>
      <c r="D504" s="24" t="s">
        <v>1073</v>
      </c>
      <c r="E504" s="24" t="s">
        <v>1074</v>
      </c>
      <c r="F504" s="24" t="s">
        <v>637</v>
      </c>
      <c r="G504" s="24"/>
      <c r="H504" s="24" t="s">
        <v>146</v>
      </c>
      <c r="I504" s="24" t="s">
        <v>1075</v>
      </c>
      <c r="J504" s="25" t="s">
        <v>1069</v>
      </c>
      <c r="K504" s="25" t="s">
        <v>1076</v>
      </c>
    </row>
    <row r="505" spans="1:11" ht="24" customHeight="1">
      <c r="A505" s="23" t="s">
        <v>116</v>
      </c>
      <c r="B505" s="24" t="s">
        <v>1077</v>
      </c>
      <c r="C505" s="24" t="s">
        <v>1078</v>
      </c>
      <c r="D505" s="24" t="s">
        <v>1079</v>
      </c>
      <c r="E505" s="24" t="s">
        <v>1080</v>
      </c>
      <c r="F505" s="24" t="s">
        <v>637</v>
      </c>
      <c r="G505" s="24"/>
      <c r="H505" s="24" t="s">
        <v>146</v>
      </c>
      <c r="I505" s="24" t="s">
        <v>1075</v>
      </c>
      <c r="J505" s="25" t="s">
        <v>1069</v>
      </c>
      <c r="K505" s="25" t="s">
        <v>1081</v>
      </c>
    </row>
    <row r="506" spans="1:11" ht="24" customHeight="1">
      <c r="A506" s="23" t="s">
        <v>116</v>
      </c>
      <c r="B506" s="24" t="s">
        <v>1082</v>
      </c>
      <c r="C506" s="24" t="s">
        <v>1083</v>
      </c>
      <c r="D506" s="24" t="s">
        <v>1084</v>
      </c>
      <c r="E506" s="24" t="s">
        <v>1085</v>
      </c>
      <c r="F506" s="24" t="s">
        <v>637</v>
      </c>
      <c r="G506" s="24"/>
      <c r="H506" s="24" t="s">
        <v>146</v>
      </c>
      <c r="I506" s="24" t="s">
        <v>1086</v>
      </c>
      <c r="J506" s="25" t="s">
        <v>1069</v>
      </c>
      <c r="K506" s="25" t="s">
        <v>1087</v>
      </c>
    </row>
    <row r="507" spans="1:11" ht="24" customHeight="1">
      <c r="A507" s="23" t="s">
        <v>116</v>
      </c>
      <c r="B507" s="24" t="s">
        <v>1088</v>
      </c>
      <c r="C507" s="24" t="s">
        <v>1089</v>
      </c>
      <c r="D507" s="24" t="s">
        <v>1090</v>
      </c>
      <c r="E507" s="24" t="s">
        <v>1091</v>
      </c>
      <c r="F507" s="24" t="s">
        <v>637</v>
      </c>
      <c r="G507" s="24"/>
      <c r="H507" s="24" t="s">
        <v>146</v>
      </c>
      <c r="I507" s="24" t="s">
        <v>1092</v>
      </c>
      <c r="J507" s="25" t="s">
        <v>1069</v>
      </c>
      <c r="K507" s="25" t="s">
        <v>1093</v>
      </c>
    </row>
    <row r="508" spans="1:11" ht="24" customHeight="1">
      <c r="A508" s="23" t="s">
        <v>116</v>
      </c>
      <c r="B508" s="24" t="s">
        <v>1094</v>
      </c>
      <c r="C508" s="24" t="s">
        <v>1095</v>
      </c>
      <c r="D508" s="24" t="s">
        <v>1096</v>
      </c>
      <c r="E508" s="24" t="s">
        <v>1097</v>
      </c>
      <c r="F508" s="24" t="s">
        <v>637</v>
      </c>
      <c r="G508" s="24"/>
      <c r="H508" s="24" t="s">
        <v>146</v>
      </c>
      <c r="I508" s="24" t="s">
        <v>1098</v>
      </c>
      <c r="J508" s="25" t="s">
        <v>1069</v>
      </c>
      <c r="K508" s="25" t="s">
        <v>1099</v>
      </c>
    </row>
    <row r="509" spans="1:11" ht="24" customHeight="1">
      <c r="A509" s="23" t="s">
        <v>116</v>
      </c>
      <c r="B509" s="24" t="s">
        <v>1100</v>
      </c>
      <c r="C509" s="24" t="s">
        <v>1101</v>
      </c>
      <c r="D509" s="24" t="s">
        <v>1102</v>
      </c>
      <c r="E509" s="24" t="s">
        <v>1103</v>
      </c>
      <c r="F509" s="24" t="s">
        <v>637</v>
      </c>
      <c r="G509" s="24"/>
      <c r="H509" s="24" t="s">
        <v>146</v>
      </c>
      <c r="I509" s="24" t="s">
        <v>1086</v>
      </c>
      <c r="J509" s="25" t="s">
        <v>1069</v>
      </c>
      <c r="K509" s="25" t="s">
        <v>1104</v>
      </c>
    </row>
    <row r="510" spans="1:11" ht="24" customHeight="1">
      <c r="A510" s="23" t="s">
        <v>116</v>
      </c>
      <c r="B510" s="24" t="s">
        <v>1105</v>
      </c>
      <c r="C510" s="24" t="s">
        <v>1106</v>
      </c>
      <c r="D510" s="24" t="s">
        <v>1107</v>
      </c>
      <c r="E510" s="24" t="s">
        <v>1108</v>
      </c>
      <c r="F510" s="24" t="s">
        <v>637</v>
      </c>
      <c r="G510" s="24"/>
      <c r="H510" s="24" t="s">
        <v>146</v>
      </c>
      <c r="I510" s="24" t="s">
        <v>1068</v>
      </c>
      <c r="J510" s="25" t="s">
        <v>1069</v>
      </c>
      <c r="K510" s="25" t="s">
        <v>1109</v>
      </c>
    </row>
    <row r="511" spans="1:11" ht="24" customHeight="1">
      <c r="A511" s="23" t="s">
        <v>116</v>
      </c>
      <c r="B511" s="24" t="s">
        <v>1110</v>
      </c>
      <c r="C511" s="24" t="s">
        <v>1111</v>
      </c>
      <c r="D511" s="24" t="s">
        <v>1112</v>
      </c>
      <c r="E511" s="24" t="s">
        <v>1113</v>
      </c>
      <c r="F511" s="24" t="s">
        <v>637</v>
      </c>
      <c r="G511" s="24"/>
      <c r="H511" s="24" t="s">
        <v>146</v>
      </c>
      <c r="I511" s="24" t="s">
        <v>1068</v>
      </c>
      <c r="J511" s="25" t="s">
        <v>639</v>
      </c>
      <c r="K511" s="25" t="s">
        <v>1114</v>
      </c>
    </row>
    <row r="512" spans="1:11" ht="24" customHeight="1">
      <c r="A512" s="23" t="s">
        <v>116</v>
      </c>
      <c r="B512" s="24" t="s">
        <v>1115</v>
      </c>
      <c r="C512" s="24" t="s">
        <v>1116</v>
      </c>
      <c r="D512" s="24" t="s">
        <v>1117</v>
      </c>
      <c r="E512" s="24" t="s">
        <v>1118</v>
      </c>
      <c r="F512" s="24" t="s">
        <v>637</v>
      </c>
      <c r="G512" s="24"/>
      <c r="H512" s="24" t="s">
        <v>146</v>
      </c>
      <c r="I512" s="24" t="s">
        <v>1075</v>
      </c>
      <c r="J512" s="25" t="s">
        <v>1069</v>
      </c>
      <c r="K512" s="25" t="s">
        <v>1119</v>
      </c>
    </row>
    <row r="513" spans="1:11" ht="36" customHeight="1">
      <c r="A513" s="23" t="s">
        <v>116</v>
      </c>
      <c r="B513" s="24" t="s">
        <v>1120</v>
      </c>
      <c r="C513" s="24" t="s">
        <v>1121</v>
      </c>
      <c r="D513" s="24" t="s">
        <v>1122</v>
      </c>
      <c r="E513" s="24" t="s">
        <v>1123</v>
      </c>
      <c r="F513" s="24" t="s">
        <v>637</v>
      </c>
      <c r="G513" s="24"/>
      <c r="H513" s="24" t="s">
        <v>146</v>
      </c>
      <c r="I513" s="24" t="s">
        <v>1075</v>
      </c>
      <c r="J513" s="25" t="s">
        <v>1069</v>
      </c>
      <c r="K513" s="25" t="s">
        <v>1124</v>
      </c>
    </row>
    <row r="514" spans="1:11" ht="24" customHeight="1">
      <c r="A514" s="23" t="s">
        <v>116</v>
      </c>
      <c r="B514" s="24" t="s">
        <v>1125</v>
      </c>
      <c r="C514" s="24" t="s">
        <v>1126</v>
      </c>
      <c r="D514" s="24" t="s">
        <v>1127</v>
      </c>
      <c r="E514" s="24" t="s">
        <v>1128</v>
      </c>
      <c r="F514" s="24" t="s">
        <v>637</v>
      </c>
      <c r="G514" s="24"/>
      <c r="H514" s="24" t="s">
        <v>146</v>
      </c>
      <c r="I514" s="24" t="s">
        <v>1129</v>
      </c>
      <c r="J514" s="25" t="s">
        <v>1069</v>
      </c>
      <c r="K514" s="25" t="s">
        <v>1130</v>
      </c>
    </row>
    <row r="515" spans="1:11" ht="24" customHeight="1">
      <c r="A515" s="23" t="s">
        <v>116</v>
      </c>
      <c r="B515" s="24" t="s">
        <v>1131</v>
      </c>
      <c r="C515" s="24" t="s">
        <v>1132</v>
      </c>
      <c r="D515" s="24" t="s">
        <v>1133</v>
      </c>
      <c r="E515" s="24" t="s">
        <v>1134</v>
      </c>
      <c r="F515" s="24" t="s">
        <v>637</v>
      </c>
      <c r="G515" s="24"/>
      <c r="H515" s="24" t="s">
        <v>146</v>
      </c>
      <c r="I515" s="24" t="s">
        <v>1135</v>
      </c>
      <c r="J515" s="25" t="s">
        <v>1069</v>
      </c>
      <c r="K515" s="25" t="s">
        <v>1136</v>
      </c>
    </row>
    <row r="516" spans="1:11" ht="24" customHeight="1">
      <c r="A516" s="23" t="s">
        <v>116</v>
      </c>
      <c r="B516" s="24" t="s">
        <v>1137</v>
      </c>
      <c r="C516" s="24" t="s">
        <v>1138</v>
      </c>
      <c r="D516" s="24" t="s">
        <v>1139</v>
      </c>
      <c r="E516" s="24" t="s">
        <v>1140</v>
      </c>
      <c r="F516" s="24" t="s">
        <v>1141</v>
      </c>
      <c r="G516" s="24"/>
      <c r="H516" s="24" t="s">
        <v>146</v>
      </c>
      <c r="I516" s="24" t="s">
        <v>835</v>
      </c>
      <c r="J516" s="25" t="s">
        <v>1142</v>
      </c>
      <c r="K516" s="25" t="s">
        <v>1143</v>
      </c>
    </row>
    <row r="517" spans="1:11" ht="48">
      <c r="A517" s="23" t="s">
        <v>116</v>
      </c>
      <c r="B517" s="24" t="s">
        <v>1144</v>
      </c>
      <c r="C517" s="24" t="s">
        <v>1145</v>
      </c>
      <c r="D517" s="24" t="s">
        <v>1146</v>
      </c>
      <c r="E517" s="24" t="s">
        <v>1147</v>
      </c>
      <c r="F517" s="24" t="s">
        <v>637</v>
      </c>
      <c r="G517" s="24"/>
      <c r="H517" s="24" t="s">
        <v>146</v>
      </c>
      <c r="I517" s="24" t="s">
        <v>1148</v>
      </c>
      <c r="J517" s="25" t="s">
        <v>1069</v>
      </c>
      <c r="K517" s="25" t="s">
        <v>1149</v>
      </c>
    </row>
    <row r="518" spans="1:11" ht="24" customHeight="1">
      <c r="A518" s="23" t="s">
        <v>116</v>
      </c>
      <c r="B518" s="24" t="s">
        <v>1150</v>
      </c>
      <c r="C518" s="24" t="s">
        <v>1151</v>
      </c>
      <c r="D518" s="24" t="s">
        <v>1152</v>
      </c>
      <c r="E518" s="24" t="s">
        <v>1153</v>
      </c>
      <c r="F518" s="24" t="s">
        <v>1154</v>
      </c>
      <c r="G518" s="24"/>
      <c r="H518" s="24" t="s">
        <v>146</v>
      </c>
      <c r="I518" s="24">
        <v>0</v>
      </c>
      <c r="J518" s="25" t="s">
        <v>1155</v>
      </c>
      <c r="K518" s="25" t="s">
        <v>1156</v>
      </c>
    </row>
    <row r="519" spans="1:11" ht="24" customHeight="1">
      <c r="A519" s="23" t="s">
        <v>122</v>
      </c>
      <c r="B519" s="24" t="s">
        <v>937</v>
      </c>
      <c r="C519" s="24" t="s">
        <v>938</v>
      </c>
      <c r="D519" s="24" t="s">
        <v>939</v>
      </c>
      <c r="E519" s="24" t="s">
        <v>940</v>
      </c>
      <c r="F519" s="24" t="s">
        <v>398</v>
      </c>
      <c r="G519" s="24"/>
      <c r="H519" s="24" t="s">
        <v>146</v>
      </c>
      <c r="I519" s="24" t="s">
        <v>1157</v>
      </c>
      <c r="J519" s="25" t="s">
        <v>400</v>
      </c>
      <c r="K519" s="25" t="s">
        <v>941</v>
      </c>
    </row>
    <row r="520" spans="1:11" ht="24" customHeight="1">
      <c r="A520" s="23" t="s">
        <v>122</v>
      </c>
      <c r="B520" s="24" t="s">
        <v>1158</v>
      </c>
      <c r="C520" s="24" t="s">
        <v>1159</v>
      </c>
      <c r="D520" s="24" t="s">
        <v>1158</v>
      </c>
      <c r="E520" s="24" t="s">
        <v>1160</v>
      </c>
      <c r="F520" s="24" t="s">
        <v>1010</v>
      </c>
      <c r="G520" s="24"/>
      <c r="H520" s="24" t="s">
        <v>146</v>
      </c>
      <c r="I520" s="24" t="s">
        <v>1161</v>
      </c>
      <c r="J520" s="25" t="s">
        <v>1012</v>
      </c>
      <c r="K520" s="25" t="s">
        <v>1162</v>
      </c>
    </row>
    <row r="521" spans="1:11" ht="24" customHeight="1">
      <c r="A521" s="23" t="s">
        <v>122</v>
      </c>
      <c r="B521" s="24" t="s">
        <v>141</v>
      </c>
      <c r="C521" s="24" t="s">
        <v>142</v>
      </c>
      <c r="D521" s="24" t="s">
        <v>143</v>
      </c>
      <c r="E521" s="24" t="s">
        <v>144</v>
      </c>
      <c r="F521" s="24" t="s">
        <v>145</v>
      </c>
      <c r="G521" s="24"/>
      <c r="H521" s="24" t="s">
        <v>146</v>
      </c>
      <c r="I521" s="24">
        <v>70</v>
      </c>
      <c r="J521" s="25" t="s">
        <v>147</v>
      </c>
      <c r="K521" s="25" t="s">
        <v>148</v>
      </c>
    </row>
    <row r="522" spans="1:11" ht="24" customHeight="1">
      <c r="A522" s="23" t="s">
        <v>122</v>
      </c>
      <c r="B522" s="24" t="s">
        <v>149</v>
      </c>
      <c r="C522" s="24" t="s">
        <v>150</v>
      </c>
      <c r="D522" s="24" t="s">
        <v>151</v>
      </c>
      <c r="E522" s="24"/>
      <c r="F522" s="24" t="s">
        <v>152</v>
      </c>
      <c r="G522" s="24"/>
      <c r="H522" s="24" t="s">
        <v>146</v>
      </c>
      <c r="I522" s="24" t="s">
        <v>153</v>
      </c>
      <c r="J522" s="25" t="s">
        <v>154</v>
      </c>
      <c r="K522" s="25"/>
    </row>
    <row r="523" spans="1:11" ht="24" customHeight="1">
      <c r="A523" s="23" t="s">
        <v>122</v>
      </c>
      <c r="B523" s="24" t="s">
        <v>155</v>
      </c>
      <c r="C523" s="24" t="s">
        <v>156</v>
      </c>
      <c r="D523" s="24" t="s">
        <v>157</v>
      </c>
      <c r="E523" s="24" t="s">
        <v>158</v>
      </c>
      <c r="F523" s="24" t="s">
        <v>159</v>
      </c>
      <c r="G523" s="24"/>
      <c r="H523" s="24" t="s">
        <v>146</v>
      </c>
      <c r="I523" s="24">
        <v>1</v>
      </c>
      <c r="J523" s="25" t="s">
        <v>160</v>
      </c>
      <c r="K523" s="25" t="s">
        <v>161</v>
      </c>
    </row>
    <row r="524" spans="1:11" ht="24" customHeight="1">
      <c r="A524" s="23" t="s">
        <v>122</v>
      </c>
      <c r="B524" s="24" t="s">
        <v>162</v>
      </c>
      <c r="C524" s="24" t="s">
        <v>163</v>
      </c>
      <c r="D524" s="24" t="s">
        <v>164</v>
      </c>
      <c r="E524" s="24"/>
      <c r="F524" s="24" t="s">
        <v>152</v>
      </c>
      <c r="G524" s="24"/>
      <c r="H524" s="24" t="s">
        <v>146</v>
      </c>
      <c r="I524" s="24" t="s">
        <v>665</v>
      </c>
      <c r="J524" s="25" t="s">
        <v>154</v>
      </c>
      <c r="K524" s="25"/>
    </row>
    <row r="525" spans="1:11" ht="24" customHeight="1">
      <c r="A525" s="23" t="s">
        <v>122</v>
      </c>
      <c r="B525" s="24" t="s">
        <v>166</v>
      </c>
      <c r="C525" s="24" t="s">
        <v>167</v>
      </c>
      <c r="D525" s="24" t="s">
        <v>168</v>
      </c>
      <c r="E525" s="24" t="s">
        <v>169</v>
      </c>
      <c r="F525" s="24" t="s">
        <v>170</v>
      </c>
      <c r="G525" s="24"/>
      <c r="H525" s="24" t="s">
        <v>146</v>
      </c>
      <c r="I525" s="24" t="s">
        <v>171</v>
      </c>
      <c r="J525" s="25" t="s">
        <v>172</v>
      </c>
      <c r="K525" s="25" t="s">
        <v>173</v>
      </c>
    </row>
    <row r="526" spans="1:11" ht="24" customHeight="1">
      <c r="A526" s="23" t="s">
        <v>122</v>
      </c>
      <c r="B526" s="24" t="s">
        <v>174</v>
      </c>
      <c r="C526" s="24" t="s">
        <v>175</v>
      </c>
      <c r="D526" s="24" t="s">
        <v>176</v>
      </c>
      <c r="E526" s="24"/>
      <c r="F526" s="24" t="s">
        <v>152</v>
      </c>
      <c r="G526" s="24"/>
      <c r="H526" s="24" t="s">
        <v>146</v>
      </c>
      <c r="I526" s="24" t="s">
        <v>177</v>
      </c>
      <c r="J526" s="25" t="s">
        <v>154</v>
      </c>
      <c r="K526" s="25"/>
    </row>
    <row r="527" spans="1:11" ht="24" customHeight="1">
      <c r="A527" s="23" t="s">
        <v>122</v>
      </c>
      <c r="B527" s="24" t="s">
        <v>178</v>
      </c>
      <c r="C527" s="24" t="s">
        <v>179</v>
      </c>
      <c r="D527" s="24" t="s">
        <v>180</v>
      </c>
      <c r="E527" s="24" t="s">
        <v>181</v>
      </c>
      <c r="F527" s="24" t="s">
        <v>182</v>
      </c>
      <c r="G527" s="24"/>
      <c r="H527" s="24" t="s">
        <v>146</v>
      </c>
      <c r="I527" s="24" t="s">
        <v>1163</v>
      </c>
      <c r="J527" s="25" t="s">
        <v>184</v>
      </c>
      <c r="K527" s="25" t="s">
        <v>185</v>
      </c>
    </row>
    <row r="528" spans="1:11" ht="24" customHeight="1">
      <c r="A528" s="23" t="s">
        <v>122</v>
      </c>
      <c r="B528" s="24" t="s">
        <v>186</v>
      </c>
      <c r="C528" s="24" t="s">
        <v>187</v>
      </c>
      <c r="D528" s="24" t="s">
        <v>188</v>
      </c>
      <c r="E528" s="24"/>
      <c r="F528" s="24" t="s">
        <v>189</v>
      </c>
      <c r="G528" s="24"/>
      <c r="H528" s="24" t="s">
        <v>146</v>
      </c>
      <c r="I528" s="24" t="s">
        <v>1164</v>
      </c>
      <c r="J528" s="25" t="s">
        <v>191</v>
      </c>
      <c r="K528" s="25"/>
    </row>
    <row r="529" spans="1:11" ht="48">
      <c r="A529" s="23" t="s">
        <v>122</v>
      </c>
      <c r="B529" s="24" t="s">
        <v>192</v>
      </c>
      <c r="C529" s="24" t="s">
        <v>193</v>
      </c>
      <c r="D529" s="24" t="s">
        <v>194</v>
      </c>
      <c r="E529" s="24" t="s">
        <v>195</v>
      </c>
      <c r="F529" s="24" t="s">
        <v>182</v>
      </c>
      <c r="G529" s="24"/>
      <c r="H529" s="24" t="s">
        <v>146</v>
      </c>
      <c r="I529" s="24" t="s">
        <v>1163</v>
      </c>
      <c r="J529" s="25" t="s">
        <v>184</v>
      </c>
      <c r="K529" s="25" t="s">
        <v>196</v>
      </c>
    </row>
    <row r="530" spans="1:11" ht="24" customHeight="1">
      <c r="A530" s="23" t="s">
        <v>122</v>
      </c>
      <c r="B530" s="24" t="s">
        <v>197</v>
      </c>
      <c r="C530" s="24" t="s">
        <v>198</v>
      </c>
      <c r="D530" s="24" t="s">
        <v>199</v>
      </c>
      <c r="E530" s="24"/>
      <c r="F530" s="24" t="s">
        <v>200</v>
      </c>
      <c r="G530" s="24"/>
      <c r="H530" s="24" t="s">
        <v>146</v>
      </c>
      <c r="I530" s="24" t="s">
        <v>1164</v>
      </c>
      <c r="J530" s="25" t="s">
        <v>201</v>
      </c>
      <c r="K530" s="25"/>
    </row>
    <row r="531" spans="1:11" ht="24" customHeight="1">
      <c r="A531" s="23" t="s">
        <v>122</v>
      </c>
      <c r="B531" s="24" t="s">
        <v>1165</v>
      </c>
      <c r="C531" s="24" t="s">
        <v>1166</v>
      </c>
      <c r="D531" s="24" t="s">
        <v>1167</v>
      </c>
      <c r="E531" s="24" t="s">
        <v>1168</v>
      </c>
      <c r="F531" s="24" t="s">
        <v>398</v>
      </c>
      <c r="G531" s="24"/>
      <c r="H531" s="24" t="s">
        <v>146</v>
      </c>
      <c r="I531" s="24" t="s">
        <v>1169</v>
      </c>
      <c r="J531" s="25" t="s">
        <v>400</v>
      </c>
      <c r="K531" s="25" t="s">
        <v>1170</v>
      </c>
    </row>
    <row r="532" spans="1:11" ht="24" customHeight="1">
      <c r="A532" s="23" t="s">
        <v>122</v>
      </c>
      <c r="B532" s="24" t="s">
        <v>202</v>
      </c>
      <c r="C532" s="24" t="s">
        <v>203</v>
      </c>
      <c r="D532" s="24" t="s">
        <v>204</v>
      </c>
      <c r="E532" s="24" t="s">
        <v>205</v>
      </c>
      <c r="F532" s="24" t="s">
        <v>182</v>
      </c>
      <c r="G532" s="24"/>
      <c r="H532" s="24" t="s">
        <v>146</v>
      </c>
      <c r="I532" s="24" t="s">
        <v>1171</v>
      </c>
      <c r="J532" s="25" t="s">
        <v>184</v>
      </c>
      <c r="K532" s="25" t="s">
        <v>207</v>
      </c>
    </row>
    <row r="533" spans="1:11" ht="24" customHeight="1">
      <c r="A533" s="23" t="s">
        <v>122</v>
      </c>
      <c r="B533" s="24" t="s">
        <v>208</v>
      </c>
      <c r="C533" s="24" t="s">
        <v>209</v>
      </c>
      <c r="D533" s="24" t="s">
        <v>210</v>
      </c>
      <c r="E533" s="24"/>
      <c r="F533" s="24" t="s">
        <v>211</v>
      </c>
      <c r="G533" s="24"/>
      <c r="H533" s="24" t="s">
        <v>146</v>
      </c>
      <c r="I533" s="24" t="s">
        <v>1172</v>
      </c>
      <c r="J533" s="25" t="s">
        <v>213</v>
      </c>
      <c r="K533" s="25"/>
    </row>
    <row r="534" spans="1:11" ht="24" customHeight="1">
      <c r="A534" s="23" t="s">
        <v>122</v>
      </c>
      <c r="B534" s="24" t="s">
        <v>214</v>
      </c>
      <c r="C534" s="24" t="s">
        <v>215</v>
      </c>
      <c r="D534" s="24" t="s">
        <v>216</v>
      </c>
      <c r="E534" s="24" t="s">
        <v>217</v>
      </c>
      <c r="F534" s="24" t="s">
        <v>218</v>
      </c>
      <c r="G534" s="24"/>
      <c r="H534" s="24" t="s">
        <v>146</v>
      </c>
      <c r="I534" s="24" t="s">
        <v>1173</v>
      </c>
      <c r="J534" s="25" t="s">
        <v>220</v>
      </c>
      <c r="K534" s="25" t="s">
        <v>221</v>
      </c>
    </row>
    <row r="535" spans="1:11" ht="24" customHeight="1">
      <c r="A535" s="23" t="s">
        <v>122</v>
      </c>
      <c r="B535" s="24" t="s">
        <v>222</v>
      </c>
      <c r="C535" s="24" t="s">
        <v>223</v>
      </c>
      <c r="D535" s="24" t="s">
        <v>224</v>
      </c>
      <c r="E535" s="24"/>
      <c r="F535" s="24" t="s">
        <v>152</v>
      </c>
      <c r="G535" s="24"/>
      <c r="H535" s="24" t="s">
        <v>146</v>
      </c>
      <c r="I535" s="24" t="s">
        <v>1174</v>
      </c>
      <c r="J535" s="25" t="s">
        <v>154</v>
      </c>
      <c r="K535" s="25"/>
    </row>
    <row r="536" spans="1:11" ht="24" customHeight="1">
      <c r="A536" s="23" t="s">
        <v>122</v>
      </c>
      <c r="B536" s="24" t="s">
        <v>226</v>
      </c>
      <c r="C536" s="24" t="s">
        <v>227</v>
      </c>
      <c r="D536" s="24" t="s">
        <v>228</v>
      </c>
      <c r="E536" s="24" t="s">
        <v>229</v>
      </c>
      <c r="F536" s="24" t="s">
        <v>230</v>
      </c>
      <c r="G536" s="24"/>
      <c r="H536" s="24" t="s">
        <v>146</v>
      </c>
      <c r="I536" s="24" t="s">
        <v>1175</v>
      </c>
      <c r="J536" s="25" t="s">
        <v>232</v>
      </c>
      <c r="K536" s="25" t="s">
        <v>233</v>
      </c>
    </row>
    <row r="537" spans="1:11" ht="24" customHeight="1">
      <c r="A537" s="23" t="s">
        <v>122</v>
      </c>
      <c r="B537" s="24" t="s">
        <v>234</v>
      </c>
      <c r="C537" s="24" t="s">
        <v>235</v>
      </c>
      <c r="D537" s="24" t="s">
        <v>236</v>
      </c>
      <c r="E537" s="24"/>
      <c r="F537" s="24" t="s">
        <v>152</v>
      </c>
      <c r="G537" s="24"/>
      <c r="H537" s="24" t="s">
        <v>146</v>
      </c>
      <c r="I537" s="24" t="s">
        <v>1176</v>
      </c>
      <c r="J537" s="25" t="s">
        <v>154</v>
      </c>
      <c r="K537" s="25"/>
    </row>
    <row r="538" spans="1:11" ht="36">
      <c r="A538" s="23" t="s">
        <v>122</v>
      </c>
      <c r="B538" s="24" t="s">
        <v>250</v>
      </c>
      <c r="C538" s="24" t="s">
        <v>251</v>
      </c>
      <c r="D538" s="24" t="s">
        <v>252</v>
      </c>
      <c r="E538" s="24" t="s">
        <v>253</v>
      </c>
      <c r="F538" s="24" t="s">
        <v>254</v>
      </c>
      <c r="G538" s="24"/>
      <c r="H538" s="24" t="s">
        <v>146</v>
      </c>
      <c r="I538" s="24" t="s">
        <v>1177</v>
      </c>
      <c r="J538" s="25" t="s">
        <v>256</v>
      </c>
      <c r="K538" s="25" t="s">
        <v>257</v>
      </c>
    </row>
    <row r="539" spans="1:11" ht="24" customHeight="1">
      <c r="A539" s="23" t="s">
        <v>122</v>
      </c>
      <c r="B539" s="24" t="s">
        <v>258</v>
      </c>
      <c r="C539" s="24" t="s">
        <v>259</v>
      </c>
      <c r="D539" s="24" t="s">
        <v>260</v>
      </c>
      <c r="E539" s="24"/>
      <c r="F539" s="24" t="s">
        <v>261</v>
      </c>
      <c r="G539" s="24"/>
      <c r="H539" s="24" t="s">
        <v>146</v>
      </c>
      <c r="I539" s="24" t="s">
        <v>1174</v>
      </c>
      <c r="J539" s="25" t="s">
        <v>263</v>
      </c>
      <c r="K539" s="25"/>
    </row>
    <row r="540" spans="1:11" ht="24" customHeight="1">
      <c r="A540" s="23" t="s">
        <v>122</v>
      </c>
      <c r="B540" s="24" t="s">
        <v>1178</v>
      </c>
      <c r="C540" s="24" t="s">
        <v>1179</v>
      </c>
      <c r="D540" s="24" t="s">
        <v>1180</v>
      </c>
      <c r="E540" s="24" t="s">
        <v>1181</v>
      </c>
      <c r="F540" s="24" t="s">
        <v>398</v>
      </c>
      <c r="G540" s="24"/>
      <c r="H540" s="24" t="s">
        <v>146</v>
      </c>
      <c r="I540" s="24" t="s">
        <v>1182</v>
      </c>
      <c r="J540" s="25" t="s">
        <v>400</v>
      </c>
      <c r="K540" s="25" t="s">
        <v>1183</v>
      </c>
    </row>
    <row r="541" spans="1:11" ht="72">
      <c r="A541" s="23" t="s">
        <v>122</v>
      </c>
      <c r="B541" s="24" t="s">
        <v>1184</v>
      </c>
      <c r="C541" s="24" t="s">
        <v>1185</v>
      </c>
      <c r="D541" s="24" t="s">
        <v>1184</v>
      </c>
      <c r="E541" s="24" t="s">
        <v>1186</v>
      </c>
      <c r="F541" s="24" t="s">
        <v>218</v>
      </c>
      <c r="G541" s="24"/>
      <c r="H541" s="24" t="s">
        <v>146</v>
      </c>
      <c r="I541" s="24" t="s">
        <v>1187</v>
      </c>
      <c r="J541" s="25" t="s">
        <v>220</v>
      </c>
      <c r="K541" s="25" t="s">
        <v>1188</v>
      </c>
    </row>
    <row r="542" spans="1:11" ht="24" customHeight="1">
      <c r="A542" s="23" t="s">
        <v>122</v>
      </c>
      <c r="B542" s="24" t="s">
        <v>1189</v>
      </c>
      <c r="C542" s="24" t="s">
        <v>1190</v>
      </c>
      <c r="D542" s="24" t="s">
        <v>1191</v>
      </c>
      <c r="E542" s="24"/>
      <c r="F542" s="24" t="s">
        <v>189</v>
      </c>
      <c r="G542" s="24"/>
      <c r="H542" s="24" t="s">
        <v>146</v>
      </c>
      <c r="I542" s="24" t="s">
        <v>1192</v>
      </c>
      <c r="J542" s="25" t="s">
        <v>191</v>
      </c>
      <c r="K542" s="25"/>
    </row>
    <row r="543" spans="1:11" ht="60">
      <c r="A543" s="23" t="s">
        <v>122</v>
      </c>
      <c r="B543" s="24" t="s">
        <v>264</v>
      </c>
      <c r="C543" s="24" t="s">
        <v>265</v>
      </c>
      <c r="D543" s="24" t="s">
        <v>266</v>
      </c>
      <c r="E543" s="24" t="s">
        <v>267</v>
      </c>
      <c r="F543" s="24" t="s">
        <v>268</v>
      </c>
      <c r="G543" s="24"/>
      <c r="H543" s="24" t="s">
        <v>146</v>
      </c>
      <c r="I543" s="24" t="s">
        <v>1193</v>
      </c>
      <c r="J543" s="25" t="s">
        <v>270</v>
      </c>
      <c r="K543" s="25" t="s">
        <v>271</v>
      </c>
    </row>
    <row r="544" spans="1:11" ht="24" customHeight="1">
      <c r="A544" s="23" t="s">
        <v>122</v>
      </c>
      <c r="B544" s="24" t="s">
        <v>272</v>
      </c>
      <c r="C544" s="24" t="s">
        <v>273</v>
      </c>
      <c r="D544" s="24" t="s">
        <v>274</v>
      </c>
      <c r="E544" s="24"/>
      <c r="F544" s="24" t="s">
        <v>152</v>
      </c>
      <c r="G544" s="24"/>
      <c r="H544" s="24" t="s">
        <v>146</v>
      </c>
      <c r="I544" s="24" t="s">
        <v>1194</v>
      </c>
      <c r="J544" s="25" t="s">
        <v>154</v>
      </c>
      <c r="K544" s="25"/>
    </row>
    <row r="545" spans="1:11" ht="24" customHeight="1">
      <c r="A545" s="23" t="s">
        <v>122</v>
      </c>
      <c r="B545" s="24" t="s">
        <v>299</v>
      </c>
      <c r="C545" s="24" t="s">
        <v>300</v>
      </c>
      <c r="D545" s="24" t="s">
        <v>301</v>
      </c>
      <c r="E545" s="24" t="s">
        <v>302</v>
      </c>
      <c r="F545" s="24" t="s">
        <v>218</v>
      </c>
      <c r="G545" s="24"/>
      <c r="H545" s="24" t="s">
        <v>146</v>
      </c>
      <c r="I545" s="24" t="s">
        <v>1195</v>
      </c>
      <c r="J545" s="25" t="s">
        <v>220</v>
      </c>
      <c r="K545" s="25" t="s">
        <v>304</v>
      </c>
    </row>
    <row r="546" spans="1:11" ht="24" customHeight="1">
      <c r="A546" s="23" t="s">
        <v>122</v>
      </c>
      <c r="B546" s="24" t="s">
        <v>305</v>
      </c>
      <c r="C546" s="24" t="s">
        <v>306</v>
      </c>
      <c r="D546" s="24" t="s">
        <v>307</v>
      </c>
      <c r="E546" s="24"/>
      <c r="F546" s="24" t="s">
        <v>308</v>
      </c>
      <c r="G546" s="24"/>
      <c r="H546" s="24" t="s">
        <v>146</v>
      </c>
      <c r="I546" s="24" t="s">
        <v>1196</v>
      </c>
      <c r="J546" s="25" t="s">
        <v>310</v>
      </c>
      <c r="K546" s="25"/>
    </row>
    <row r="547" spans="1:11" ht="24">
      <c r="A547" s="23" t="s">
        <v>122</v>
      </c>
      <c r="B547" s="24" t="s">
        <v>678</v>
      </c>
      <c r="C547" s="24" t="s">
        <v>679</v>
      </c>
      <c r="D547" s="24" t="s">
        <v>680</v>
      </c>
      <c r="E547" s="24" t="s">
        <v>681</v>
      </c>
      <c r="F547" s="24" t="s">
        <v>254</v>
      </c>
      <c r="G547" s="24"/>
      <c r="H547" s="24" t="s">
        <v>146</v>
      </c>
      <c r="I547" s="24" t="s">
        <v>1197</v>
      </c>
      <c r="J547" s="25" t="s">
        <v>256</v>
      </c>
      <c r="K547" s="25" t="s">
        <v>682</v>
      </c>
    </row>
    <row r="548" spans="1:11" ht="24" customHeight="1">
      <c r="A548" s="23" t="s">
        <v>122</v>
      </c>
      <c r="B548" s="24" t="s">
        <v>683</v>
      </c>
      <c r="C548" s="24" t="s">
        <v>684</v>
      </c>
      <c r="D548" s="24" t="s">
        <v>685</v>
      </c>
      <c r="E548" s="24"/>
      <c r="F548" s="24" t="s">
        <v>152</v>
      </c>
      <c r="G548" s="24"/>
      <c r="H548" s="24" t="s">
        <v>146</v>
      </c>
      <c r="I548" s="24" t="s">
        <v>1198</v>
      </c>
      <c r="J548" s="25" t="s">
        <v>154</v>
      </c>
      <c r="K548" s="25"/>
    </row>
    <row r="549" spans="1:11" ht="24" customHeight="1">
      <c r="A549" s="23" t="s">
        <v>122</v>
      </c>
      <c r="B549" s="24" t="s">
        <v>311</v>
      </c>
      <c r="C549" s="24" t="s">
        <v>312</v>
      </c>
      <c r="D549" s="24" t="s">
        <v>313</v>
      </c>
      <c r="E549" s="24" t="s">
        <v>314</v>
      </c>
      <c r="F549" s="24" t="s">
        <v>145</v>
      </c>
      <c r="G549" s="24"/>
      <c r="H549" s="24" t="s">
        <v>146</v>
      </c>
      <c r="I549" s="24">
        <v>1</v>
      </c>
      <c r="J549" s="25" t="s">
        <v>315</v>
      </c>
      <c r="K549" s="25" t="s">
        <v>316</v>
      </c>
    </row>
    <row r="550" spans="1:11" ht="24" customHeight="1">
      <c r="A550" s="23" t="s">
        <v>122</v>
      </c>
      <c r="B550" s="24" t="s">
        <v>317</v>
      </c>
      <c r="C550" s="24" t="s">
        <v>318</v>
      </c>
      <c r="D550" s="24" t="s">
        <v>319</v>
      </c>
      <c r="E550" s="24"/>
      <c r="F550" s="24" t="s">
        <v>152</v>
      </c>
      <c r="G550" s="24"/>
      <c r="H550" s="24" t="s">
        <v>146</v>
      </c>
      <c r="I550" s="24" t="s">
        <v>320</v>
      </c>
      <c r="J550" s="25" t="s">
        <v>154</v>
      </c>
      <c r="K550" s="25"/>
    </row>
    <row r="551" spans="1:11" ht="24" customHeight="1">
      <c r="A551" s="23" t="s">
        <v>122</v>
      </c>
      <c r="B551" s="24" t="s">
        <v>321</v>
      </c>
      <c r="C551" s="24" t="s">
        <v>322</v>
      </c>
      <c r="D551" s="24" t="s">
        <v>323</v>
      </c>
      <c r="E551" s="24" t="s">
        <v>324</v>
      </c>
      <c r="F551" s="24" t="s">
        <v>285</v>
      </c>
      <c r="G551" s="24"/>
      <c r="H551" s="24" t="s">
        <v>146</v>
      </c>
      <c r="I551" s="24" t="s">
        <v>1199</v>
      </c>
      <c r="J551" s="25" t="s">
        <v>287</v>
      </c>
      <c r="K551" s="25" t="s">
        <v>326</v>
      </c>
    </row>
    <row r="552" spans="1:11" ht="24" customHeight="1">
      <c r="A552" s="23" t="s">
        <v>122</v>
      </c>
      <c r="B552" s="24" t="s">
        <v>327</v>
      </c>
      <c r="C552" s="24" t="s">
        <v>328</v>
      </c>
      <c r="D552" s="24" t="s">
        <v>329</v>
      </c>
      <c r="E552" s="24"/>
      <c r="F552" s="24" t="s">
        <v>330</v>
      </c>
      <c r="G552" s="24"/>
      <c r="H552" s="24" t="s">
        <v>146</v>
      </c>
      <c r="I552" s="24" t="s">
        <v>1200</v>
      </c>
      <c r="J552" s="25" t="s">
        <v>332</v>
      </c>
      <c r="K552" s="25"/>
    </row>
    <row r="553" spans="1:11" ht="24" customHeight="1">
      <c r="A553" s="23" t="s">
        <v>122</v>
      </c>
      <c r="B553" s="24" t="s">
        <v>333</v>
      </c>
      <c r="C553" s="24" t="s">
        <v>334</v>
      </c>
      <c r="D553" s="24" t="s">
        <v>335</v>
      </c>
      <c r="E553" s="24" t="s">
        <v>336</v>
      </c>
      <c r="F553" s="24" t="s">
        <v>285</v>
      </c>
      <c r="G553" s="24"/>
      <c r="H553" s="24" t="s">
        <v>146</v>
      </c>
      <c r="I553" s="24">
        <v>3924064</v>
      </c>
      <c r="J553" s="25" t="s">
        <v>287</v>
      </c>
      <c r="K553" s="25" t="s">
        <v>337</v>
      </c>
    </row>
    <row r="554" spans="1:11" ht="24" customHeight="1">
      <c r="A554" s="23" t="s">
        <v>122</v>
      </c>
      <c r="B554" s="24" t="s">
        <v>338</v>
      </c>
      <c r="C554" s="24" t="s">
        <v>339</v>
      </c>
      <c r="D554" s="24" t="s">
        <v>340</v>
      </c>
      <c r="E554" s="24"/>
      <c r="F554" s="24" t="s">
        <v>330</v>
      </c>
      <c r="G554" s="24"/>
      <c r="H554" s="24" t="s">
        <v>146</v>
      </c>
      <c r="I554" s="24" t="s">
        <v>1200</v>
      </c>
      <c r="J554" s="25" t="s">
        <v>332</v>
      </c>
      <c r="K554" s="25"/>
    </row>
    <row r="555" spans="1:11" ht="24" customHeight="1">
      <c r="A555" s="23" t="s">
        <v>122</v>
      </c>
      <c r="B555" s="24" t="s">
        <v>341</v>
      </c>
      <c r="C555" s="24" t="s">
        <v>342</v>
      </c>
      <c r="D555" s="24" t="s">
        <v>343</v>
      </c>
      <c r="E555" s="24" t="s">
        <v>344</v>
      </c>
      <c r="F555" s="24" t="s">
        <v>182</v>
      </c>
      <c r="G555" s="24"/>
      <c r="H555" s="24" t="s">
        <v>146</v>
      </c>
      <c r="I555" s="24">
        <v>70</v>
      </c>
      <c r="J555" s="25" t="s">
        <v>184</v>
      </c>
      <c r="K555" s="25" t="s">
        <v>345</v>
      </c>
    </row>
    <row r="556" spans="1:11" ht="24" customHeight="1">
      <c r="A556" s="23" t="s">
        <v>122</v>
      </c>
      <c r="B556" s="24" t="s">
        <v>346</v>
      </c>
      <c r="C556" s="24" t="s">
        <v>347</v>
      </c>
      <c r="D556" s="24" t="s">
        <v>348</v>
      </c>
      <c r="E556" s="24"/>
      <c r="F556" s="24" t="s">
        <v>285</v>
      </c>
      <c r="G556" s="24"/>
      <c r="H556" s="24" t="s">
        <v>146</v>
      </c>
      <c r="I556" s="24" t="s">
        <v>153</v>
      </c>
      <c r="J556" s="25" t="s">
        <v>287</v>
      </c>
      <c r="K556" s="25"/>
    </row>
    <row r="557" spans="1:11" ht="36">
      <c r="A557" s="23" t="s">
        <v>122</v>
      </c>
      <c r="B557" s="24" t="s">
        <v>349</v>
      </c>
      <c r="C557" s="24" t="s">
        <v>350</v>
      </c>
      <c r="D557" s="24" t="s">
        <v>351</v>
      </c>
      <c r="E557" s="24" t="s">
        <v>352</v>
      </c>
      <c r="F557" s="24" t="s">
        <v>218</v>
      </c>
      <c r="G557" s="24"/>
      <c r="H557" s="24" t="s">
        <v>146</v>
      </c>
      <c r="I557" s="24" t="s">
        <v>688</v>
      </c>
      <c r="J557" s="25" t="s">
        <v>220</v>
      </c>
      <c r="K557" s="25" t="s">
        <v>354</v>
      </c>
    </row>
    <row r="558" spans="1:11" ht="24" customHeight="1">
      <c r="A558" s="23" t="s">
        <v>122</v>
      </c>
      <c r="B558" s="24" t="s">
        <v>355</v>
      </c>
      <c r="C558" s="24" t="s">
        <v>356</v>
      </c>
      <c r="D558" s="24" t="s">
        <v>357</v>
      </c>
      <c r="E558" s="24"/>
      <c r="F558" s="24" t="s">
        <v>152</v>
      </c>
      <c r="G558" s="24"/>
      <c r="H558" s="24" t="s">
        <v>146</v>
      </c>
      <c r="I558" s="24" t="s">
        <v>689</v>
      </c>
      <c r="J558" s="25" t="s">
        <v>154</v>
      </c>
      <c r="K558" s="25"/>
    </row>
    <row r="559" spans="1:11" ht="36">
      <c r="A559" s="23" t="s">
        <v>122</v>
      </c>
      <c r="B559" s="24" t="s">
        <v>358</v>
      </c>
      <c r="C559" s="24" t="s">
        <v>359</v>
      </c>
      <c r="D559" s="24" t="s">
        <v>360</v>
      </c>
      <c r="E559" s="24" t="s">
        <v>361</v>
      </c>
      <c r="F559" s="24" t="s">
        <v>218</v>
      </c>
      <c r="G559" s="24"/>
      <c r="H559" s="24" t="s">
        <v>146</v>
      </c>
      <c r="I559" s="24">
        <v>515</v>
      </c>
      <c r="J559" s="25" t="s">
        <v>220</v>
      </c>
      <c r="K559" s="25" t="s">
        <v>362</v>
      </c>
    </row>
    <row r="560" spans="1:11" ht="24" customHeight="1">
      <c r="A560" s="23" t="s">
        <v>122</v>
      </c>
      <c r="B560" s="24" t="s">
        <v>363</v>
      </c>
      <c r="C560" s="24" t="s">
        <v>364</v>
      </c>
      <c r="D560" s="24" t="s">
        <v>365</v>
      </c>
      <c r="E560" s="24"/>
      <c r="F560" s="24" t="s">
        <v>152</v>
      </c>
      <c r="G560" s="24"/>
      <c r="H560" s="24" t="s">
        <v>146</v>
      </c>
      <c r="I560" s="24" t="s">
        <v>1201</v>
      </c>
      <c r="J560" s="25" t="s">
        <v>154</v>
      </c>
      <c r="K560" s="25"/>
    </row>
    <row r="561" spans="1:11" ht="36">
      <c r="A561" s="23" t="s">
        <v>122</v>
      </c>
      <c r="B561" s="24" t="s">
        <v>366</v>
      </c>
      <c r="C561" s="24" t="s">
        <v>367</v>
      </c>
      <c r="D561" s="24" t="s">
        <v>368</v>
      </c>
      <c r="E561" s="24" t="s">
        <v>369</v>
      </c>
      <c r="F561" s="24" t="s">
        <v>218</v>
      </c>
      <c r="G561" s="24"/>
      <c r="H561" s="24" t="s">
        <v>146</v>
      </c>
      <c r="I561" s="24">
        <v>62</v>
      </c>
      <c r="J561" s="25" t="s">
        <v>220</v>
      </c>
      <c r="K561" s="25" t="s">
        <v>370</v>
      </c>
    </row>
    <row r="562" spans="1:11" ht="24" customHeight="1">
      <c r="A562" s="23" t="s">
        <v>122</v>
      </c>
      <c r="B562" s="24" t="s">
        <v>371</v>
      </c>
      <c r="C562" s="24" t="s">
        <v>372</v>
      </c>
      <c r="D562" s="24" t="s">
        <v>373</v>
      </c>
      <c r="E562" s="24"/>
      <c r="F562" s="24" t="s">
        <v>152</v>
      </c>
      <c r="G562" s="24"/>
      <c r="H562" s="24" t="s">
        <v>146</v>
      </c>
      <c r="I562" s="24" t="s">
        <v>1202</v>
      </c>
      <c r="J562" s="25" t="s">
        <v>154</v>
      </c>
      <c r="K562" s="25"/>
    </row>
    <row r="563" spans="1:11" ht="24" customHeight="1">
      <c r="A563" s="23" t="s">
        <v>122</v>
      </c>
      <c r="B563" s="24" t="s">
        <v>375</v>
      </c>
      <c r="C563" s="24" t="s">
        <v>376</v>
      </c>
      <c r="D563" s="24" t="s">
        <v>377</v>
      </c>
      <c r="E563" s="24" t="s">
        <v>378</v>
      </c>
      <c r="F563" s="24" t="s">
        <v>254</v>
      </c>
      <c r="G563" s="24"/>
      <c r="H563" s="24" t="s">
        <v>146</v>
      </c>
      <c r="I563" s="24" t="s">
        <v>1203</v>
      </c>
      <c r="J563" s="25" t="s">
        <v>256</v>
      </c>
      <c r="K563" s="25" t="s">
        <v>380</v>
      </c>
    </row>
    <row r="564" spans="1:11" ht="24" customHeight="1">
      <c r="A564" s="23" t="s">
        <v>122</v>
      </c>
      <c r="B564" s="24" t="s">
        <v>381</v>
      </c>
      <c r="C564" s="24" t="s">
        <v>382</v>
      </c>
      <c r="D564" s="24" t="s">
        <v>383</v>
      </c>
      <c r="E564" s="24"/>
      <c r="F564" s="24" t="s">
        <v>152</v>
      </c>
      <c r="G564" s="24"/>
      <c r="H564" s="24" t="s">
        <v>146</v>
      </c>
      <c r="I564" s="24" t="s">
        <v>1176</v>
      </c>
      <c r="J564" s="25" t="s">
        <v>154</v>
      </c>
      <c r="K564" s="25"/>
    </row>
    <row r="565" spans="1:11" ht="48">
      <c r="A565" s="23" t="s">
        <v>122</v>
      </c>
      <c r="B565" s="24" t="s">
        <v>384</v>
      </c>
      <c r="C565" s="24" t="s">
        <v>385</v>
      </c>
      <c r="D565" s="24" t="s">
        <v>386</v>
      </c>
      <c r="E565" s="24" t="s">
        <v>387</v>
      </c>
      <c r="F565" s="24" t="s">
        <v>285</v>
      </c>
      <c r="G565" s="24"/>
      <c r="H565" s="24" t="s">
        <v>146</v>
      </c>
      <c r="I565" s="24">
        <v>84189341</v>
      </c>
      <c r="J565" s="25" t="s">
        <v>287</v>
      </c>
      <c r="K565" s="25" t="s">
        <v>388</v>
      </c>
    </row>
    <row r="566" spans="1:11" ht="24" customHeight="1">
      <c r="A566" s="23" t="s">
        <v>122</v>
      </c>
      <c r="B566" s="24" t="s">
        <v>389</v>
      </c>
      <c r="C566" s="24" t="s">
        <v>390</v>
      </c>
      <c r="D566" s="24" t="s">
        <v>391</v>
      </c>
      <c r="E566" s="24"/>
      <c r="F566" s="24" t="s">
        <v>392</v>
      </c>
      <c r="G566" s="24"/>
      <c r="H566" s="24" t="s">
        <v>146</v>
      </c>
      <c r="I566" s="24" t="s">
        <v>1204</v>
      </c>
      <c r="J566" s="25" t="s">
        <v>394</v>
      </c>
      <c r="K566" s="25"/>
    </row>
    <row r="567" spans="1:11" ht="24" customHeight="1">
      <c r="A567" s="23" t="s">
        <v>122</v>
      </c>
      <c r="B567" s="24" t="s">
        <v>402</v>
      </c>
      <c r="C567" s="24" t="s">
        <v>403</v>
      </c>
      <c r="D567" s="24" t="s">
        <v>404</v>
      </c>
      <c r="E567" s="24" t="s">
        <v>405</v>
      </c>
      <c r="F567" s="24" t="s">
        <v>230</v>
      </c>
      <c r="G567" s="24"/>
      <c r="H567" s="24" t="s">
        <v>146</v>
      </c>
      <c r="I567" s="24">
        <v>70540</v>
      </c>
      <c r="J567" s="25" t="s">
        <v>232</v>
      </c>
      <c r="K567" s="25" t="s">
        <v>406</v>
      </c>
    </row>
    <row r="568" spans="1:11" ht="24" customHeight="1">
      <c r="A568" s="23" t="s">
        <v>122</v>
      </c>
      <c r="B568" s="24" t="s">
        <v>407</v>
      </c>
      <c r="C568" s="24" t="s">
        <v>408</v>
      </c>
      <c r="D568" s="24" t="s">
        <v>409</v>
      </c>
      <c r="E568" s="24"/>
      <c r="F568" s="24" t="s">
        <v>152</v>
      </c>
      <c r="G568" s="24"/>
      <c r="H568" s="24" t="s">
        <v>146</v>
      </c>
      <c r="I568" s="24" t="s">
        <v>1205</v>
      </c>
      <c r="J568" s="25" t="s">
        <v>154</v>
      </c>
      <c r="K568" s="25"/>
    </row>
    <row r="569" spans="1:11" ht="24" customHeight="1">
      <c r="A569" s="23" t="s">
        <v>122</v>
      </c>
      <c r="B569" s="24" t="s">
        <v>1206</v>
      </c>
      <c r="C569" s="24" t="s">
        <v>1207</v>
      </c>
      <c r="D569" s="24" t="s">
        <v>1208</v>
      </c>
      <c r="E569" s="24" t="s">
        <v>1209</v>
      </c>
      <c r="F569" s="24" t="s">
        <v>398</v>
      </c>
      <c r="G569" s="24"/>
      <c r="H569" s="24" t="s">
        <v>146</v>
      </c>
      <c r="I569" s="24" t="s">
        <v>1210</v>
      </c>
      <c r="J569" s="25" t="s">
        <v>400</v>
      </c>
      <c r="K569" s="25" t="s">
        <v>1211</v>
      </c>
    </row>
    <row r="570" spans="1:11" ht="48">
      <c r="A570" s="23" t="s">
        <v>122</v>
      </c>
      <c r="B570" s="24" t="s">
        <v>411</v>
      </c>
      <c r="C570" s="24" t="s">
        <v>412</v>
      </c>
      <c r="D570" s="24" t="s">
        <v>411</v>
      </c>
      <c r="E570" s="24" t="s">
        <v>413</v>
      </c>
      <c r="F570" s="24" t="s">
        <v>254</v>
      </c>
      <c r="G570" s="24"/>
      <c r="H570" s="24" t="s">
        <v>146</v>
      </c>
      <c r="I570" s="24" t="s">
        <v>1212</v>
      </c>
      <c r="J570" s="25" t="s">
        <v>256</v>
      </c>
      <c r="K570" s="25" t="s">
        <v>415</v>
      </c>
    </row>
    <row r="571" spans="1:11" ht="24" customHeight="1">
      <c r="A571" s="23" t="s">
        <v>122</v>
      </c>
      <c r="B571" s="24" t="s">
        <v>416</v>
      </c>
      <c r="C571" s="24" t="s">
        <v>417</v>
      </c>
      <c r="D571" s="24" t="s">
        <v>418</v>
      </c>
      <c r="E571" s="24"/>
      <c r="F571" s="24" t="s">
        <v>152</v>
      </c>
      <c r="G571" s="24"/>
      <c r="H571" s="24" t="s">
        <v>146</v>
      </c>
      <c r="I571" s="24" t="s">
        <v>1213</v>
      </c>
      <c r="J571" s="25" t="s">
        <v>154</v>
      </c>
      <c r="K571" s="25"/>
    </row>
    <row r="572" spans="1:11" ht="24" customHeight="1">
      <c r="A572" s="23" t="s">
        <v>122</v>
      </c>
      <c r="B572" s="24" t="s">
        <v>425</v>
      </c>
      <c r="C572" s="24" t="s">
        <v>426</v>
      </c>
      <c r="D572" s="24" t="s">
        <v>427</v>
      </c>
      <c r="E572" s="24" t="s">
        <v>428</v>
      </c>
      <c r="F572" s="24" t="s">
        <v>182</v>
      </c>
      <c r="G572" s="24"/>
      <c r="H572" s="24" t="s">
        <v>146</v>
      </c>
      <c r="I572" s="24">
        <v>70</v>
      </c>
      <c r="J572" s="25" t="s">
        <v>184</v>
      </c>
      <c r="K572" s="25" t="s">
        <v>429</v>
      </c>
    </row>
    <row r="573" spans="1:11" ht="24" customHeight="1">
      <c r="A573" s="23" t="s">
        <v>122</v>
      </c>
      <c r="B573" s="24" t="s">
        <v>430</v>
      </c>
      <c r="C573" s="24" t="s">
        <v>431</v>
      </c>
      <c r="D573" s="24" t="s">
        <v>432</v>
      </c>
      <c r="E573" s="24"/>
      <c r="F573" s="24" t="s">
        <v>200</v>
      </c>
      <c r="G573" s="24"/>
      <c r="H573" s="24" t="s">
        <v>146</v>
      </c>
      <c r="I573" s="24" t="s">
        <v>153</v>
      </c>
      <c r="J573" s="25" t="s">
        <v>201</v>
      </c>
      <c r="K573" s="25"/>
    </row>
    <row r="574" spans="1:11" ht="24" customHeight="1">
      <c r="A574" s="23" t="s">
        <v>122</v>
      </c>
      <c r="B574" s="24" t="s">
        <v>433</v>
      </c>
      <c r="C574" s="24" t="s">
        <v>434</v>
      </c>
      <c r="D574" s="24" t="s">
        <v>435</v>
      </c>
      <c r="E574" s="24" t="s">
        <v>436</v>
      </c>
      <c r="F574" s="24" t="s">
        <v>182</v>
      </c>
      <c r="G574" s="24"/>
      <c r="H574" s="24" t="s">
        <v>146</v>
      </c>
      <c r="I574" s="24">
        <v>6</v>
      </c>
      <c r="J574" s="25" t="s">
        <v>184</v>
      </c>
      <c r="K574" s="25" t="s">
        <v>437</v>
      </c>
    </row>
    <row r="575" spans="1:11" ht="24" customHeight="1">
      <c r="A575" s="23" t="s">
        <v>122</v>
      </c>
      <c r="B575" s="24" t="s">
        <v>438</v>
      </c>
      <c r="C575" s="24" t="s">
        <v>439</v>
      </c>
      <c r="D575" s="24" t="s">
        <v>440</v>
      </c>
      <c r="E575" s="24"/>
      <c r="F575" s="24" t="s">
        <v>152</v>
      </c>
      <c r="G575" s="24"/>
      <c r="H575" s="24" t="s">
        <v>146</v>
      </c>
      <c r="I575" s="24" t="s">
        <v>1214</v>
      </c>
      <c r="J575" s="25" t="s">
        <v>154</v>
      </c>
      <c r="K575" s="25"/>
    </row>
    <row r="576" spans="1:11" ht="24" customHeight="1">
      <c r="A576" s="23" t="s">
        <v>122</v>
      </c>
      <c r="B576" s="24" t="s">
        <v>442</v>
      </c>
      <c r="C576" s="24" t="s">
        <v>443</v>
      </c>
      <c r="D576" s="24" t="s">
        <v>444</v>
      </c>
      <c r="E576" s="24" t="s">
        <v>445</v>
      </c>
      <c r="F576" s="24" t="s">
        <v>218</v>
      </c>
      <c r="G576" s="24"/>
      <c r="H576" s="24" t="s">
        <v>146</v>
      </c>
      <c r="I576" s="24" t="s">
        <v>1215</v>
      </c>
      <c r="J576" s="25" t="s">
        <v>220</v>
      </c>
      <c r="K576" s="25" t="s">
        <v>447</v>
      </c>
    </row>
    <row r="577" spans="1:11" ht="24" customHeight="1">
      <c r="A577" s="23" t="s">
        <v>122</v>
      </c>
      <c r="B577" s="24" t="s">
        <v>448</v>
      </c>
      <c r="C577" s="24" t="s">
        <v>449</v>
      </c>
      <c r="D577" s="24" t="s">
        <v>450</v>
      </c>
      <c r="E577" s="24"/>
      <c r="F577" s="24" t="s">
        <v>152</v>
      </c>
      <c r="G577" s="24"/>
      <c r="H577" s="24" t="s">
        <v>146</v>
      </c>
      <c r="I577" s="24" t="s">
        <v>1216</v>
      </c>
      <c r="J577" s="25" t="s">
        <v>154</v>
      </c>
      <c r="K577" s="25"/>
    </row>
    <row r="578" spans="1:11" ht="24">
      <c r="A578" s="23" t="s">
        <v>122</v>
      </c>
      <c r="B578" s="24" t="s">
        <v>452</v>
      </c>
      <c r="C578" s="24" t="s">
        <v>453</v>
      </c>
      <c r="D578" s="24" t="s">
        <v>454</v>
      </c>
      <c r="E578" s="24" t="s">
        <v>455</v>
      </c>
      <c r="F578" s="24" t="s">
        <v>218</v>
      </c>
      <c r="G578" s="24"/>
      <c r="H578" s="24" t="s">
        <v>146</v>
      </c>
      <c r="I578" s="24" t="s">
        <v>1217</v>
      </c>
      <c r="J578" s="25" t="s">
        <v>220</v>
      </c>
      <c r="K578" s="25" t="s">
        <v>457</v>
      </c>
    </row>
    <row r="579" spans="1:11" ht="24" customHeight="1">
      <c r="A579" s="23" t="s">
        <v>122</v>
      </c>
      <c r="B579" s="24" t="s">
        <v>458</v>
      </c>
      <c r="C579" s="24" t="s">
        <v>459</v>
      </c>
      <c r="D579" s="24" t="s">
        <v>460</v>
      </c>
      <c r="E579" s="24"/>
      <c r="F579" s="24" t="s">
        <v>152</v>
      </c>
      <c r="G579" s="24"/>
      <c r="H579" s="24" t="s">
        <v>146</v>
      </c>
      <c r="I579" s="24" t="s">
        <v>1218</v>
      </c>
      <c r="J579" s="25" t="s">
        <v>154</v>
      </c>
      <c r="K579" s="25"/>
    </row>
    <row r="580" spans="1:11" ht="24">
      <c r="A580" s="23" t="s">
        <v>122</v>
      </c>
      <c r="B580" s="24" t="s">
        <v>462</v>
      </c>
      <c r="C580" s="24" t="s">
        <v>463</v>
      </c>
      <c r="D580" s="24" t="s">
        <v>464</v>
      </c>
      <c r="E580" s="24" t="s">
        <v>465</v>
      </c>
      <c r="F580" s="24" t="s">
        <v>170</v>
      </c>
      <c r="G580" s="24"/>
      <c r="H580" s="24" t="s">
        <v>146</v>
      </c>
      <c r="I580" s="24" t="s">
        <v>23</v>
      </c>
      <c r="J580" s="25" t="s">
        <v>172</v>
      </c>
      <c r="K580" s="25" t="s">
        <v>466</v>
      </c>
    </row>
    <row r="581" spans="1:11" ht="24" customHeight="1">
      <c r="A581" s="23" t="s">
        <v>122</v>
      </c>
      <c r="B581" s="24" t="s">
        <v>467</v>
      </c>
      <c r="C581" s="24" t="s">
        <v>468</v>
      </c>
      <c r="D581" s="24" t="s">
        <v>469</v>
      </c>
      <c r="E581" s="24"/>
      <c r="F581" s="24" t="s">
        <v>152</v>
      </c>
      <c r="G581" s="24"/>
      <c r="H581" s="24" t="s">
        <v>146</v>
      </c>
      <c r="I581" s="24" t="s">
        <v>1219</v>
      </c>
      <c r="J581" s="25" t="s">
        <v>154</v>
      </c>
      <c r="K581" s="25"/>
    </row>
    <row r="582" spans="1:11" ht="36">
      <c r="A582" s="23" t="s">
        <v>122</v>
      </c>
      <c r="B582" s="24" t="s">
        <v>471</v>
      </c>
      <c r="C582" s="24" t="s">
        <v>472</v>
      </c>
      <c r="D582" s="24" t="s">
        <v>473</v>
      </c>
      <c r="E582" s="24" t="s">
        <v>474</v>
      </c>
      <c r="F582" s="24" t="s">
        <v>170</v>
      </c>
      <c r="G582" s="24"/>
      <c r="H582" s="24" t="s">
        <v>146</v>
      </c>
      <c r="I582" s="24" t="s">
        <v>23</v>
      </c>
      <c r="J582" s="25" t="s">
        <v>172</v>
      </c>
      <c r="K582" s="25" t="s">
        <v>475</v>
      </c>
    </row>
    <row r="583" spans="1:11" ht="24" customHeight="1">
      <c r="A583" s="23" t="s">
        <v>122</v>
      </c>
      <c r="B583" s="24" t="s">
        <v>476</v>
      </c>
      <c r="C583" s="24" t="s">
        <v>477</v>
      </c>
      <c r="D583" s="24" t="s">
        <v>478</v>
      </c>
      <c r="E583" s="24"/>
      <c r="F583" s="24" t="s">
        <v>152</v>
      </c>
      <c r="G583" s="24"/>
      <c r="H583" s="24" t="s">
        <v>146</v>
      </c>
      <c r="I583" s="24" t="s">
        <v>1219</v>
      </c>
      <c r="J583" s="25" t="s">
        <v>154</v>
      </c>
      <c r="K583" s="25"/>
    </row>
    <row r="584" spans="1:11" ht="24" customHeight="1">
      <c r="A584" s="23" t="s">
        <v>122</v>
      </c>
      <c r="B584" s="24" t="s">
        <v>1220</v>
      </c>
      <c r="C584" s="24" t="s">
        <v>1221</v>
      </c>
      <c r="D584" s="24" t="s">
        <v>1222</v>
      </c>
      <c r="E584" s="24"/>
      <c r="F584" s="24" t="s">
        <v>285</v>
      </c>
      <c r="G584" s="24"/>
      <c r="H584" s="24" t="s">
        <v>146</v>
      </c>
      <c r="I584" s="24">
        <v>83316692</v>
      </c>
      <c r="J584" s="25" t="s">
        <v>287</v>
      </c>
      <c r="K584" s="25"/>
    </row>
    <row r="585" spans="1:11" ht="36" customHeight="1">
      <c r="A585" s="23" t="s">
        <v>122</v>
      </c>
      <c r="B585" s="24" t="s">
        <v>1223</v>
      </c>
      <c r="C585" s="24" t="s">
        <v>1224</v>
      </c>
      <c r="D585" s="24" t="s">
        <v>1225</v>
      </c>
      <c r="E585" s="24"/>
      <c r="F585" s="24" t="s">
        <v>392</v>
      </c>
      <c r="G585" s="24"/>
      <c r="H585" s="24" t="s">
        <v>146</v>
      </c>
      <c r="I585" s="24" t="s">
        <v>1226</v>
      </c>
      <c r="J585" s="25" t="s">
        <v>394</v>
      </c>
      <c r="K585" s="25"/>
    </row>
    <row r="586" spans="1:11" ht="24" customHeight="1">
      <c r="A586" s="23" t="s">
        <v>122</v>
      </c>
      <c r="B586" s="24" t="s">
        <v>479</v>
      </c>
      <c r="C586" s="24" t="s">
        <v>480</v>
      </c>
      <c r="D586" s="24" t="s">
        <v>481</v>
      </c>
      <c r="E586" s="24" t="s">
        <v>482</v>
      </c>
      <c r="F586" s="24" t="s">
        <v>483</v>
      </c>
      <c r="G586" s="24"/>
      <c r="H586" s="24" t="s">
        <v>146</v>
      </c>
      <c r="I586" s="24" t="s">
        <v>1227</v>
      </c>
      <c r="J586" s="25" t="s">
        <v>485</v>
      </c>
      <c r="K586" s="25" t="s">
        <v>486</v>
      </c>
    </row>
    <row r="587" spans="1:11" ht="24" customHeight="1">
      <c r="A587" s="23" t="s">
        <v>122</v>
      </c>
      <c r="B587" s="24" t="s">
        <v>487</v>
      </c>
      <c r="C587" s="24" t="s">
        <v>488</v>
      </c>
      <c r="D587" s="24" t="s">
        <v>489</v>
      </c>
      <c r="E587" s="24"/>
      <c r="F587" s="24" t="s">
        <v>392</v>
      </c>
      <c r="G587" s="24"/>
      <c r="H587" s="24" t="s">
        <v>146</v>
      </c>
      <c r="I587" s="24" t="s">
        <v>1226</v>
      </c>
      <c r="J587" s="25" t="s">
        <v>394</v>
      </c>
      <c r="K587" s="25"/>
    </row>
    <row r="588" spans="1:11" ht="36" customHeight="1">
      <c r="A588" s="23" t="s">
        <v>122</v>
      </c>
      <c r="B588" s="24" t="s">
        <v>491</v>
      </c>
      <c r="C588" s="24" t="s">
        <v>492</v>
      </c>
      <c r="D588" s="24" t="s">
        <v>493</v>
      </c>
      <c r="E588" s="24" t="s">
        <v>494</v>
      </c>
      <c r="F588" s="24" t="s">
        <v>182</v>
      </c>
      <c r="G588" s="24"/>
      <c r="H588" s="24" t="s">
        <v>146</v>
      </c>
      <c r="I588" s="24" t="s">
        <v>708</v>
      </c>
      <c r="J588" s="25" t="s">
        <v>184</v>
      </c>
      <c r="K588" s="25" t="s">
        <v>496</v>
      </c>
    </row>
    <row r="589" spans="1:11" ht="24" customHeight="1">
      <c r="A589" s="23" t="s">
        <v>122</v>
      </c>
      <c r="B589" s="24" t="s">
        <v>497</v>
      </c>
      <c r="C589" s="24" t="s">
        <v>498</v>
      </c>
      <c r="D589" s="24" t="s">
        <v>499</v>
      </c>
      <c r="E589" s="24"/>
      <c r="F589" s="24" t="s">
        <v>500</v>
      </c>
      <c r="G589" s="24"/>
      <c r="H589" s="24" t="s">
        <v>146</v>
      </c>
      <c r="I589" s="24" t="s">
        <v>709</v>
      </c>
      <c r="J589" s="25" t="s">
        <v>502</v>
      </c>
      <c r="K589" s="25"/>
    </row>
    <row r="590" spans="1:11" ht="36">
      <c r="A590" s="23" t="s">
        <v>122</v>
      </c>
      <c r="B590" s="24" t="s">
        <v>503</v>
      </c>
      <c r="C590" s="24" t="s">
        <v>504</v>
      </c>
      <c r="D590" s="24" t="s">
        <v>505</v>
      </c>
      <c r="E590" s="24" t="s">
        <v>506</v>
      </c>
      <c r="F590" s="24" t="s">
        <v>182</v>
      </c>
      <c r="G590" s="24"/>
      <c r="H590" s="24" t="s">
        <v>146</v>
      </c>
      <c r="I590" s="24" t="s">
        <v>708</v>
      </c>
      <c r="J590" s="25" t="s">
        <v>184</v>
      </c>
      <c r="K590" s="25" t="s">
        <v>507</v>
      </c>
    </row>
    <row r="591" spans="1:11" ht="24" customHeight="1">
      <c r="A591" s="23" t="s">
        <v>122</v>
      </c>
      <c r="B591" s="24" t="s">
        <v>508</v>
      </c>
      <c r="C591" s="24" t="s">
        <v>509</v>
      </c>
      <c r="D591" s="24" t="s">
        <v>510</v>
      </c>
      <c r="E591" s="24"/>
      <c r="F591" s="24" t="s">
        <v>500</v>
      </c>
      <c r="G591" s="24"/>
      <c r="H591" s="24" t="s">
        <v>146</v>
      </c>
      <c r="I591" s="24" t="s">
        <v>709</v>
      </c>
      <c r="J591" s="25" t="s">
        <v>502</v>
      </c>
      <c r="K591" s="25"/>
    </row>
    <row r="592" spans="1:11" ht="66.75">
      <c r="A592" s="23" t="s">
        <v>122</v>
      </c>
      <c r="B592" s="24" t="s">
        <v>511</v>
      </c>
      <c r="C592" s="24" t="s">
        <v>512</v>
      </c>
      <c r="D592" s="24" t="s">
        <v>513</v>
      </c>
      <c r="E592" s="24" t="s">
        <v>514</v>
      </c>
      <c r="F592" s="24" t="s">
        <v>268</v>
      </c>
      <c r="G592" s="24"/>
      <c r="H592" s="24" t="s">
        <v>146</v>
      </c>
      <c r="I592" s="24" t="s">
        <v>1228</v>
      </c>
      <c r="J592" s="25" t="s">
        <v>270</v>
      </c>
      <c r="K592" s="25" t="s">
        <v>516</v>
      </c>
    </row>
    <row r="593" spans="1:11" ht="24" customHeight="1">
      <c r="A593" s="23" t="s">
        <v>122</v>
      </c>
      <c r="B593" s="24" t="s">
        <v>517</v>
      </c>
      <c r="C593" s="24" t="s">
        <v>518</v>
      </c>
      <c r="D593" s="24" t="s">
        <v>519</v>
      </c>
      <c r="E593" s="24"/>
      <c r="F593" s="24" t="s">
        <v>152</v>
      </c>
      <c r="G593" s="24"/>
      <c r="H593" s="24" t="s">
        <v>146</v>
      </c>
      <c r="I593" s="24" t="s">
        <v>1229</v>
      </c>
      <c r="J593" s="25" t="s">
        <v>154</v>
      </c>
      <c r="K593" s="25"/>
    </row>
    <row r="594" spans="1:11" ht="36" customHeight="1">
      <c r="A594" s="23" t="s">
        <v>122</v>
      </c>
      <c r="B594" s="24" t="s">
        <v>542</v>
      </c>
      <c r="C594" s="24" t="s">
        <v>542</v>
      </c>
      <c r="D594" s="24" t="s">
        <v>543</v>
      </c>
      <c r="E594" s="24" t="s">
        <v>544</v>
      </c>
      <c r="F594" s="24" t="s">
        <v>182</v>
      </c>
      <c r="G594" s="24"/>
      <c r="H594" s="24" t="s">
        <v>146</v>
      </c>
      <c r="I594" s="24" t="s">
        <v>1230</v>
      </c>
      <c r="J594" s="25" t="s">
        <v>184</v>
      </c>
      <c r="K594" s="25" t="s">
        <v>546</v>
      </c>
    </row>
    <row r="595" spans="1:11" ht="24" customHeight="1">
      <c r="A595" s="23" t="s">
        <v>122</v>
      </c>
      <c r="B595" s="24" t="s">
        <v>547</v>
      </c>
      <c r="C595" s="24" t="s">
        <v>547</v>
      </c>
      <c r="D595" s="24" t="s">
        <v>548</v>
      </c>
      <c r="E595" s="24"/>
      <c r="F595" s="24" t="s">
        <v>549</v>
      </c>
      <c r="G595" s="24"/>
      <c r="H595" s="24" t="s">
        <v>146</v>
      </c>
      <c r="I595" s="24" t="s">
        <v>1205</v>
      </c>
      <c r="J595" s="25" t="s">
        <v>550</v>
      </c>
      <c r="K595" s="25"/>
    </row>
    <row r="596" spans="1:11" ht="24" customHeight="1">
      <c r="A596" s="23" t="s">
        <v>122</v>
      </c>
      <c r="B596" s="24" t="s">
        <v>561</v>
      </c>
      <c r="C596" s="24" t="s">
        <v>562</v>
      </c>
      <c r="D596" s="24" t="s">
        <v>563</v>
      </c>
      <c r="E596" s="24" t="s">
        <v>564</v>
      </c>
      <c r="F596" s="24" t="s">
        <v>285</v>
      </c>
      <c r="G596" s="24"/>
      <c r="H596" s="24" t="s">
        <v>146</v>
      </c>
      <c r="I596" s="24">
        <v>11323966</v>
      </c>
      <c r="J596" s="25" t="s">
        <v>287</v>
      </c>
      <c r="K596" s="25" t="s">
        <v>565</v>
      </c>
    </row>
    <row r="597" spans="1:11" ht="24" customHeight="1">
      <c r="A597" s="23" t="s">
        <v>122</v>
      </c>
      <c r="B597" s="24" t="s">
        <v>566</v>
      </c>
      <c r="C597" s="24" t="s">
        <v>567</v>
      </c>
      <c r="D597" s="24" t="s">
        <v>568</v>
      </c>
      <c r="E597" s="24"/>
      <c r="F597" s="24" t="s">
        <v>330</v>
      </c>
      <c r="G597" s="24"/>
      <c r="H597" s="24" t="s">
        <v>146</v>
      </c>
      <c r="I597" s="24" t="s">
        <v>1231</v>
      </c>
      <c r="J597" s="25" t="s">
        <v>332</v>
      </c>
      <c r="K597" s="25"/>
    </row>
    <row r="598" spans="1:11" ht="24" customHeight="1">
      <c r="A598" s="23" t="s">
        <v>122</v>
      </c>
      <c r="B598" s="24" t="s">
        <v>570</v>
      </c>
      <c r="C598" s="24" t="s">
        <v>571</v>
      </c>
      <c r="D598" s="24" t="s">
        <v>572</v>
      </c>
      <c r="E598" s="24" t="s">
        <v>573</v>
      </c>
      <c r="F598" s="24" t="s">
        <v>268</v>
      </c>
      <c r="G598" s="24"/>
      <c r="H598" s="24" t="s">
        <v>146</v>
      </c>
      <c r="I598" s="24" t="s">
        <v>23</v>
      </c>
      <c r="J598" s="25" t="s">
        <v>270</v>
      </c>
      <c r="K598" s="25" t="s">
        <v>575</v>
      </c>
    </row>
    <row r="599" spans="1:11" ht="24" customHeight="1">
      <c r="A599" s="23" t="s">
        <v>122</v>
      </c>
      <c r="B599" s="24" t="s">
        <v>576</v>
      </c>
      <c r="C599" s="24" t="s">
        <v>577</v>
      </c>
      <c r="D599" s="24" t="s">
        <v>578</v>
      </c>
      <c r="E599" s="24"/>
      <c r="F599" s="24" t="s">
        <v>152</v>
      </c>
      <c r="G599" s="24"/>
      <c r="H599" s="24" t="s">
        <v>146</v>
      </c>
      <c r="I599" s="24" t="s">
        <v>1232</v>
      </c>
      <c r="J599" s="25" t="s">
        <v>154</v>
      </c>
      <c r="K599" s="25"/>
    </row>
    <row r="600" spans="1:11" ht="24" customHeight="1">
      <c r="A600" s="23" t="s">
        <v>122</v>
      </c>
      <c r="B600" s="24" t="s">
        <v>580</v>
      </c>
      <c r="C600" s="24" t="s">
        <v>581</v>
      </c>
      <c r="D600" s="24" t="s">
        <v>582</v>
      </c>
      <c r="E600" s="24" t="s">
        <v>583</v>
      </c>
      <c r="F600" s="24" t="s">
        <v>285</v>
      </c>
      <c r="G600" s="24"/>
      <c r="H600" s="24" t="s">
        <v>146</v>
      </c>
      <c r="I600" s="24">
        <v>11323966</v>
      </c>
      <c r="J600" s="25" t="s">
        <v>287</v>
      </c>
      <c r="K600" s="25" t="s">
        <v>584</v>
      </c>
    </row>
    <row r="601" spans="1:11" ht="24" customHeight="1">
      <c r="A601" s="23" t="s">
        <v>122</v>
      </c>
      <c r="B601" s="24" t="s">
        <v>585</v>
      </c>
      <c r="C601" s="24" t="s">
        <v>586</v>
      </c>
      <c r="D601" s="24" t="s">
        <v>587</v>
      </c>
      <c r="E601" s="24"/>
      <c r="F601" s="24" t="s">
        <v>330</v>
      </c>
      <c r="G601" s="24"/>
      <c r="H601" s="24" t="s">
        <v>146</v>
      </c>
      <c r="I601" s="24" t="s">
        <v>1231</v>
      </c>
      <c r="J601" s="25" t="s">
        <v>332</v>
      </c>
      <c r="K601" s="25"/>
    </row>
    <row r="602" spans="1:11" ht="24" customHeight="1">
      <c r="A602" s="23" t="s">
        <v>122</v>
      </c>
      <c r="B602" s="24" t="s">
        <v>588</v>
      </c>
      <c r="C602" s="24" t="s">
        <v>589</v>
      </c>
      <c r="D602" s="24" t="s">
        <v>590</v>
      </c>
      <c r="E602" s="24" t="s">
        <v>591</v>
      </c>
      <c r="F602" s="24" t="s">
        <v>268</v>
      </c>
      <c r="G602" s="24"/>
      <c r="H602" s="24" t="s">
        <v>146</v>
      </c>
      <c r="I602" s="24" t="s">
        <v>23</v>
      </c>
      <c r="J602" s="25" t="s">
        <v>270</v>
      </c>
      <c r="K602" s="25" t="s">
        <v>593</v>
      </c>
    </row>
    <row r="603" spans="1:11" ht="24" customHeight="1">
      <c r="A603" s="23" t="s">
        <v>122</v>
      </c>
      <c r="B603" s="24" t="s">
        <v>594</v>
      </c>
      <c r="C603" s="24" t="s">
        <v>595</v>
      </c>
      <c r="D603" s="24" t="s">
        <v>596</v>
      </c>
      <c r="E603" s="24"/>
      <c r="F603" s="24" t="s">
        <v>152</v>
      </c>
      <c r="G603" s="24"/>
      <c r="H603" s="24" t="s">
        <v>146</v>
      </c>
      <c r="I603" s="24" t="s">
        <v>1232</v>
      </c>
      <c r="J603" s="25" t="s">
        <v>154</v>
      </c>
      <c r="K603" s="25"/>
    </row>
    <row r="604" spans="1:11" ht="24" customHeight="1">
      <c r="A604" s="23" t="s">
        <v>122</v>
      </c>
      <c r="B604" s="24" t="s">
        <v>597</v>
      </c>
      <c r="C604" s="24" t="s">
        <v>598</v>
      </c>
      <c r="D604" s="24" t="s">
        <v>599</v>
      </c>
      <c r="E604" s="24" t="s">
        <v>600</v>
      </c>
      <c r="F604" s="24" t="s">
        <v>218</v>
      </c>
      <c r="G604" s="24"/>
      <c r="H604" s="24" t="s">
        <v>146</v>
      </c>
      <c r="I604" s="24" t="s">
        <v>718</v>
      </c>
      <c r="J604" s="25" t="s">
        <v>220</v>
      </c>
      <c r="K604" s="25" t="s">
        <v>602</v>
      </c>
    </row>
    <row r="605" spans="1:11" ht="36" customHeight="1">
      <c r="A605" s="23" t="s">
        <v>122</v>
      </c>
      <c r="B605" s="24" t="s">
        <v>603</v>
      </c>
      <c r="C605" s="24" t="s">
        <v>604</v>
      </c>
      <c r="D605" s="24" t="s">
        <v>605</v>
      </c>
      <c r="E605" s="24"/>
      <c r="F605" s="24" t="s">
        <v>152</v>
      </c>
      <c r="G605" s="24"/>
      <c r="H605" s="24" t="s">
        <v>146</v>
      </c>
      <c r="I605" s="24" t="s">
        <v>719</v>
      </c>
      <c r="J605" s="25" t="s">
        <v>154</v>
      </c>
      <c r="K605" s="25"/>
    </row>
    <row r="606" spans="1:11" ht="24" customHeight="1">
      <c r="A606" s="23" t="s">
        <v>122</v>
      </c>
      <c r="B606" s="24" t="s">
        <v>607</v>
      </c>
      <c r="C606" s="24" t="s">
        <v>608</v>
      </c>
      <c r="D606" s="24" t="s">
        <v>609</v>
      </c>
      <c r="E606" s="24" t="s">
        <v>610</v>
      </c>
      <c r="F606" s="24" t="s">
        <v>218</v>
      </c>
      <c r="G606" s="24"/>
      <c r="H606" s="24" t="s">
        <v>146</v>
      </c>
      <c r="I606" s="24" t="s">
        <v>718</v>
      </c>
      <c r="J606" s="25" t="s">
        <v>220</v>
      </c>
      <c r="K606" s="25" t="s">
        <v>611</v>
      </c>
    </row>
    <row r="607" spans="1:11" ht="24" customHeight="1">
      <c r="A607" s="23" t="s">
        <v>122</v>
      </c>
      <c r="B607" s="24" t="s">
        <v>612</v>
      </c>
      <c r="C607" s="24" t="s">
        <v>613</v>
      </c>
      <c r="D607" s="24" t="s">
        <v>614</v>
      </c>
      <c r="E607" s="24"/>
      <c r="F607" s="24" t="s">
        <v>152</v>
      </c>
      <c r="G607" s="24"/>
      <c r="H607" s="24" t="s">
        <v>146</v>
      </c>
      <c r="I607" s="24" t="s">
        <v>719</v>
      </c>
      <c r="J607" s="25" t="s">
        <v>154</v>
      </c>
      <c r="K607" s="25"/>
    </row>
    <row r="608" spans="1:11" ht="24" customHeight="1">
      <c r="A608" s="23" t="s">
        <v>122</v>
      </c>
      <c r="B608" s="24" t="s">
        <v>615</v>
      </c>
      <c r="C608" s="24" t="s">
        <v>616</v>
      </c>
      <c r="D608" s="24" t="s">
        <v>617</v>
      </c>
      <c r="E608" s="24" t="s">
        <v>618</v>
      </c>
      <c r="F608" s="24" t="s">
        <v>285</v>
      </c>
      <c r="G608" s="24"/>
      <c r="H608" s="24" t="s">
        <v>146</v>
      </c>
      <c r="I608" s="24" t="s">
        <v>1233</v>
      </c>
      <c r="J608" s="25" t="s">
        <v>287</v>
      </c>
      <c r="K608" s="25" t="s">
        <v>620</v>
      </c>
    </row>
    <row r="609" spans="1:11" ht="24" customHeight="1">
      <c r="A609" s="23" t="s">
        <v>122</v>
      </c>
      <c r="B609" s="24" t="s">
        <v>621</v>
      </c>
      <c r="C609" s="24" t="s">
        <v>622</v>
      </c>
      <c r="D609" s="24" t="s">
        <v>623</v>
      </c>
      <c r="E609" s="24"/>
      <c r="F609" s="24" t="s">
        <v>392</v>
      </c>
      <c r="G609" s="24"/>
      <c r="H609" s="24" t="s">
        <v>146</v>
      </c>
      <c r="I609" s="24" t="s">
        <v>1226</v>
      </c>
      <c r="J609" s="25" t="s">
        <v>394</v>
      </c>
      <c r="K609" s="25"/>
    </row>
    <row r="610" spans="1:11" ht="24" customHeight="1">
      <c r="A610" s="23" t="s">
        <v>122</v>
      </c>
      <c r="B610" s="24" t="s">
        <v>1234</v>
      </c>
      <c r="C610" s="24" t="s">
        <v>1235</v>
      </c>
      <c r="D610" s="24" t="s">
        <v>1236</v>
      </c>
      <c r="E610" s="24" t="s">
        <v>1237</v>
      </c>
      <c r="F610" s="24" t="s">
        <v>637</v>
      </c>
      <c r="G610" s="24"/>
      <c r="H610" s="24" t="s">
        <v>146</v>
      </c>
      <c r="I610" s="24" t="s">
        <v>835</v>
      </c>
      <c r="J610" s="25" t="s">
        <v>639</v>
      </c>
      <c r="K610" s="25" t="s">
        <v>1238</v>
      </c>
    </row>
    <row r="611" spans="1:11" ht="24" customHeight="1">
      <c r="A611" s="23" t="s">
        <v>122</v>
      </c>
      <c r="B611" s="24" t="s">
        <v>1239</v>
      </c>
      <c r="C611" s="24" t="s">
        <v>1240</v>
      </c>
      <c r="D611" s="24" t="s">
        <v>1241</v>
      </c>
      <c r="E611" s="24" t="s">
        <v>1242</v>
      </c>
      <c r="F611" s="24" t="s">
        <v>645</v>
      </c>
      <c r="G611" s="24"/>
      <c r="H611" s="24" t="s">
        <v>146</v>
      </c>
      <c r="I611" s="24" t="s">
        <v>835</v>
      </c>
      <c r="J611" s="25" t="s">
        <v>1243</v>
      </c>
      <c r="K611" s="25" t="s">
        <v>1244</v>
      </c>
    </row>
    <row r="612" spans="1:11" ht="24" customHeight="1">
      <c r="A612" s="23" t="s">
        <v>122</v>
      </c>
      <c r="B612" s="24" t="s">
        <v>1245</v>
      </c>
      <c r="C612" s="24" t="s">
        <v>1246</v>
      </c>
      <c r="D612" s="24" t="s">
        <v>1247</v>
      </c>
      <c r="E612" s="24" t="s">
        <v>1248</v>
      </c>
      <c r="F612" s="24" t="s">
        <v>629</v>
      </c>
      <c r="G612" s="24"/>
      <c r="H612" s="24" t="s">
        <v>146</v>
      </c>
      <c r="I612" s="24" t="s">
        <v>835</v>
      </c>
      <c r="J612" s="25" t="s">
        <v>631</v>
      </c>
      <c r="K612" s="25" t="s">
        <v>1249</v>
      </c>
    </row>
    <row r="613" spans="1:11" ht="33">
      <c r="A613" s="23" t="s">
        <v>116</v>
      </c>
      <c r="B613" s="27" t="s">
        <v>1250</v>
      </c>
      <c r="C613" s="24" t="s">
        <v>1251</v>
      </c>
      <c r="D613" s="27" t="s">
        <v>1252</v>
      </c>
      <c r="E613" s="27" t="s">
        <v>1253</v>
      </c>
      <c r="F613" s="27" t="s">
        <v>637</v>
      </c>
      <c r="G613" s="27"/>
      <c r="H613" s="27" t="b">
        <v>0</v>
      </c>
      <c r="I613" s="27"/>
      <c r="J613" s="28"/>
      <c r="K613" s="29" t="s">
        <v>1254</v>
      </c>
    </row>
  </sheetData>
  <mergeCells count="3">
    <mergeCell ref="A2:K2"/>
    <mergeCell ref="A1:K1"/>
    <mergeCell ref="A3:K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6925-E3A7-45C7-AE9B-E7128F64C70E}">
  <dimension ref="A1:K71"/>
  <sheetViews>
    <sheetView zoomScale="97" zoomScaleNormal="115" workbookViewId="0">
      <pane ySplit="5" topLeftCell="A7" activePane="bottomLeft" state="frozen"/>
      <selection pane="bottomLeft" activeCell="D28" sqref="D28"/>
      <selection activeCell="B52" sqref="B52"/>
    </sheetView>
  </sheetViews>
  <sheetFormatPr defaultColWidth="9.140625" defaultRowHeight="15"/>
  <cols>
    <col min="1" max="1" width="22" customWidth="1"/>
    <col min="2" max="2" width="18" customWidth="1"/>
    <col min="3" max="4" width="38" customWidth="1"/>
    <col min="5" max="5" width="32" customWidth="1"/>
    <col min="6" max="6" width="38" customWidth="1"/>
    <col min="7" max="7" width="38.140625" customWidth="1"/>
    <col min="8" max="9" width="28" customWidth="1"/>
    <col min="10" max="10" width="48" customWidth="1"/>
    <col min="11" max="11" width="38.140625" customWidth="1"/>
  </cols>
  <sheetData>
    <row r="1" spans="1:11" ht="28.15" customHeight="1">
      <c r="A1" s="65" t="s">
        <v>1255</v>
      </c>
      <c r="B1" s="91"/>
      <c r="C1" s="91"/>
      <c r="D1" s="91"/>
      <c r="E1" s="91"/>
      <c r="F1" s="91"/>
      <c r="G1" s="91"/>
      <c r="H1" s="91"/>
      <c r="I1" s="91"/>
      <c r="J1" s="91"/>
      <c r="K1" s="91"/>
    </row>
    <row r="2" spans="1:11" ht="18" customHeight="1">
      <c r="A2" s="64" t="s">
        <v>1256</v>
      </c>
      <c r="B2" s="91"/>
      <c r="C2" s="91"/>
      <c r="D2" s="91"/>
      <c r="E2" s="91"/>
      <c r="F2" s="91"/>
      <c r="G2" s="91"/>
      <c r="H2" s="91"/>
      <c r="I2" s="91"/>
      <c r="J2" s="91"/>
      <c r="K2" s="91"/>
    </row>
    <row r="3" spans="1:11" ht="42" customHeight="1">
      <c r="A3" s="63" t="s">
        <v>1257</v>
      </c>
      <c r="B3" s="91"/>
      <c r="C3" s="91"/>
      <c r="D3" s="91"/>
      <c r="E3" s="91"/>
      <c r="F3" s="91"/>
      <c r="G3" s="91"/>
      <c r="H3" s="91"/>
      <c r="I3" s="91"/>
      <c r="J3" s="91"/>
      <c r="K3" s="91"/>
    </row>
    <row r="4" spans="1:11" ht="42" customHeight="1">
      <c r="A4" s="16" t="s">
        <v>5</v>
      </c>
      <c r="C4" t="s">
        <v>1258</v>
      </c>
      <c r="E4" t="s">
        <v>1258</v>
      </c>
      <c r="J4" t="s">
        <v>1259</v>
      </c>
    </row>
    <row r="5" spans="1:11" ht="30" customHeight="1">
      <c r="A5" s="1" t="s">
        <v>1260</v>
      </c>
      <c r="B5" s="1" t="s">
        <v>1261</v>
      </c>
      <c r="C5" s="1" t="s">
        <v>135</v>
      </c>
      <c r="D5" s="1" t="s">
        <v>87</v>
      </c>
      <c r="E5" s="1" t="s">
        <v>1262</v>
      </c>
      <c r="F5" s="1" t="s">
        <v>1263</v>
      </c>
      <c r="G5" s="1" t="s">
        <v>1264</v>
      </c>
      <c r="H5" s="1" t="s">
        <v>1265</v>
      </c>
      <c r="I5" s="1" t="s">
        <v>1266</v>
      </c>
      <c r="J5" s="1" t="s">
        <v>1267</v>
      </c>
      <c r="K5" s="1" t="s">
        <v>1268</v>
      </c>
    </row>
    <row r="6" spans="1:11" ht="110.25">
      <c r="A6" s="2" t="s">
        <v>1269</v>
      </c>
      <c r="B6" s="2" t="s">
        <v>122</v>
      </c>
      <c r="C6" s="2" t="s">
        <v>1270</v>
      </c>
      <c r="D6" s="5" t="s">
        <v>1271</v>
      </c>
      <c r="E6" s="2" t="s">
        <v>1272</v>
      </c>
      <c r="F6" s="2" t="s">
        <v>1273</v>
      </c>
      <c r="G6" s="2" t="s">
        <v>1274</v>
      </c>
      <c r="H6" s="2" t="s">
        <v>110</v>
      </c>
      <c r="I6" s="2" t="s">
        <v>1275</v>
      </c>
      <c r="J6" s="2"/>
      <c r="K6" s="2" t="s">
        <v>1276</v>
      </c>
    </row>
    <row r="7" spans="1:11" ht="77.25">
      <c r="A7" s="2" t="s">
        <v>1277</v>
      </c>
      <c r="B7" s="2" t="s">
        <v>116</v>
      </c>
      <c r="C7" s="2" t="s">
        <v>1278</v>
      </c>
      <c r="D7" s="2" t="s">
        <v>1279</v>
      </c>
      <c r="E7" s="26" t="s">
        <v>1280</v>
      </c>
      <c r="F7" s="2" t="s">
        <v>1281</v>
      </c>
      <c r="G7" s="26" t="s">
        <v>1282</v>
      </c>
      <c r="H7" s="2" t="s">
        <v>116</v>
      </c>
      <c r="I7" s="2" t="s">
        <v>1283</v>
      </c>
      <c r="J7" s="2"/>
      <c r="K7" s="2" t="s">
        <v>1284</v>
      </c>
    </row>
    <row r="8" spans="1:11" ht="87.75">
      <c r="A8" s="2" t="s">
        <v>1285</v>
      </c>
      <c r="B8" s="2" t="s">
        <v>1286</v>
      </c>
      <c r="C8" s="2" t="s">
        <v>1287</v>
      </c>
      <c r="D8" s="2" t="s">
        <v>1288</v>
      </c>
      <c r="E8" s="2" t="s">
        <v>1289</v>
      </c>
      <c r="F8" s="2" t="s">
        <v>1290</v>
      </c>
      <c r="G8" s="26" t="s">
        <v>1291</v>
      </c>
      <c r="H8" s="2" t="s">
        <v>1292</v>
      </c>
      <c r="I8" s="2" t="s">
        <v>1293</v>
      </c>
      <c r="J8" s="2"/>
      <c r="K8" s="2" t="s">
        <v>1294</v>
      </c>
    </row>
    <row r="9" spans="1:11" ht="87.75">
      <c r="A9" s="2" t="s">
        <v>1295</v>
      </c>
      <c r="B9" s="2" t="s">
        <v>1286</v>
      </c>
      <c r="C9" s="2" t="s">
        <v>1296</v>
      </c>
      <c r="D9" s="2" t="s">
        <v>1297</v>
      </c>
      <c r="E9" s="2" t="s">
        <v>1298</v>
      </c>
      <c r="F9" s="2" t="s">
        <v>1299</v>
      </c>
      <c r="G9" s="26" t="s">
        <v>1300</v>
      </c>
      <c r="H9" s="2" t="s">
        <v>1292</v>
      </c>
      <c r="I9" s="2" t="s">
        <v>1301</v>
      </c>
      <c r="J9" s="2"/>
      <c r="K9" s="2" t="s">
        <v>1302</v>
      </c>
    </row>
    <row r="10" spans="1:11" ht="99">
      <c r="A10" s="2" t="s">
        <v>1303</v>
      </c>
      <c r="B10" s="2" t="s">
        <v>122</v>
      </c>
      <c r="C10" s="2" t="s">
        <v>1304</v>
      </c>
      <c r="D10" s="2" t="s">
        <v>1305</v>
      </c>
      <c r="E10" s="2" t="s">
        <v>1306</v>
      </c>
      <c r="F10" s="2" t="s">
        <v>1307</v>
      </c>
      <c r="G10" s="26" t="s">
        <v>1308</v>
      </c>
      <c r="H10" s="2" t="s">
        <v>110</v>
      </c>
      <c r="I10" s="2" t="s">
        <v>1309</v>
      </c>
      <c r="J10" s="2"/>
      <c r="K10" s="2" t="s">
        <v>1310</v>
      </c>
    </row>
    <row r="11" spans="1:11" ht="99">
      <c r="A11" s="2" t="s">
        <v>1311</v>
      </c>
      <c r="B11" s="2" t="s">
        <v>122</v>
      </c>
      <c r="C11" s="2" t="s">
        <v>1312</v>
      </c>
      <c r="D11" s="2" t="s">
        <v>1313</v>
      </c>
      <c r="E11" s="2" t="s">
        <v>1314</v>
      </c>
      <c r="F11" s="2" t="s">
        <v>1315</v>
      </c>
      <c r="G11" s="26" t="s">
        <v>1316</v>
      </c>
      <c r="H11" s="2" t="s">
        <v>110</v>
      </c>
      <c r="I11" s="2" t="s">
        <v>1317</v>
      </c>
      <c r="J11" s="2"/>
      <c r="K11" s="2" t="s">
        <v>1318</v>
      </c>
    </row>
    <row r="12" spans="1:11" ht="99">
      <c r="A12" s="2" t="s">
        <v>1319</v>
      </c>
      <c r="B12" s="2" t="s">
        <v>122</v>
      </c>
      <c r="C12" s="2" t="s">
        <v>1320</v>
      </c>
      <c r="D12" s="2" t="s">
        <v>1321</v>
      </c>
      <c r="E12" s="2" t="s">
        <v>1322</v>
      </c>
      <c r="F12" s="2" t="s">
        <v>1323</v>
      </c>
      <c r="G12" s="26" t="s">
        <v>1324</v>
      </c>
      <c r="H12" s="2" t="s">
        <v>110</v>
      </c>
      <c r="I12" s="2" t="s">
        <v>1325</v>
      </c>
      <c r="J12" s="2"/>
      <c r="K12" s="2" t="s">
        <v>1326</v>
      </c>
    </row>
    <row r="13" spans="1:11" ht="99">
      <c r="A13" s="2" t="s">
        <v>1327</v>
      </c>
      <c r="B13" s="2" t="s">
        <v>122</v>
      </c>
      <c r="C13" s="2" t="s">
        <v>1328</v>
      </c>
      <c r="D13" s="2" t="s">
        <v>1329</v>
      </c>
      <c r="E13" s="2" t="s">
        <v>1330</v>
      </c>
      <c r="F13" s="2" t="s">
        <v>1331</v>
      </c>
      <c r="G13" s="26" t="s">
        <v>1332</v>
      </c>
      <c r="H13" s="2" t="s">
        <v>110</v>
      </c>
      <c r="I13" s="2" t="s">
        <v>1333</v>
      </c>
      <c r="J13" s="2"/>
      <c r="K13" s="2" t="s">
        <v>1334</v>
      </c>
    </row>
    <row r="14" spans="1:11" ht="177">
      <c r="A14" s="2" t="s">
        <v>1335</v>
      </c>
      <c r="B14" s="2" t="s">
        <v>1286</v>
      </c>
      <c r="C14" s="2" t="s">
        <v>1336</v>
      </c>
      <c r="D14" s="2" t="s">
        <v>1337</v>
      </c>
      <c r="E14" s="26" t="s">
        <v>1338</v>
      </c>
      <c r="F14" s="2" t="s">
        <v>1339</v>
      </c>
      <c r="G14" s="26" t="s">
        <v>1340</v>
      </c>
      <c r="H14" s="2" t="s">
        <v>1292</v>
      </c>
      <c r="I14" s="2" t="s">
        <v>1341</v>
      </c>
      <c r="J14" s="2"/>
      <c r="K14" s="2" t="s">
        <v>1342</v>
      </c>
    </row>
    <row r="15" spans="1:11" ht="177">
      <c r="A15" s="2" t="s">
        <v>1343</v>
      </c>
      <c r="B15" s="2" t="s">
        <v>1286</v>
      </c>
      <c r="C15" s="2" t="s">
        <v>1344</v>
      </c>
      <c r="D15" s="2" t="s">
        <v>1345</v>
      </c>
      <c r="E15" s="26" t="s">
        <v>1346</v>
      </c>
      <c r="F15" s="2" t="s">
        <v>1347</v>
      </c>
      <c r="G15" s="26" t="s">
        <v>1348</v>
      </c>
      <c r="H15" s="2" t="s">
        <v>1292</v>
      </c>
      <c r="I15" s="2" t="s">
        <v>1349</v>
      </c>
      <c r="J15" s="2"/>
      <c r="K15" s="2" t="s">
        <v>1350</v>
      </c>
    </row>
    <row r="16" spans="1:11" ht="220.5">
      <c r="A16" s="2" t="s">
        <v>1351</v>
      </c>
      <c r="B16" s="2" t="s">
        <v>1286</v>
      </c>
      <c r="C16" s="2" t="s">
        <v>1352</v>
      </c>
      <c r="D16" s="2" t="s">
        <v>1353</v>
      </c>
      <c r="E16" s="26" t="s">
        <v>1354</v>
      </c>
      <c r="F16" s="2" t="s">
        <v>1355</v>
      </c>
      <c r="G16" s="26" t="s">
        <v>1356</v>
      </c>
      <c r="H16" s="2" t="s">
        <v>1292</v>
      </c>
      <c r="I16" s="2" t="s">
        <v>1357</v>
      </c>
      <c r="J16" s="2"/>
      <c r="K16" s="2" t="s">
        <v>1358</v>
      </c>
    </row>
    <row r="17" spans="1:11" ht="409.6">
      <c r="A17" s="2" t="s">
        <v>1359</v>
      </c>
      <c r="B17" s="2" t="s">
        <v>122</v>
      </c>
      <c r="C17" s="2" t="s">
        <v>1360</v>
      </c>
      <c r="D17" s="2" t="s">
        <v>1361</v>
      </c>
      <c r="E17" s="2" t="s">
        <v>1362</v>
      </c>
      <c r="F17" s="2" t="s">
        <v>1363</v>
      </c>
      <c r="G17" s="2" t="s">
        <v>1364</v>
      </c>
      <c r="H17" s="2" t="s">
        <v>122</v>
      </c>
      <c r="I17" s="2" t="s">
        <v>1365</v>
      </c>
      <c r="J17" s="2"/>
      <c r="K17" s="2" t="s">
        <v>1366</v>
      </c>
    </row>
    <row r="18" spans="1:11" ht="397.5">
      <c r="A18" s="2" t="s">
        <v>1367</v>
      </c>
      <c r="B18" s="2" t="s">
        <v>122</v>
      </c>
      <c r="C18" s="2" t="s">
        <v>1368</v>
      </c>
      <c r="D18" s="2" t="s">
        <v>1369</v>
      </c>
      <c r="E18" s="2" t="s">
        <v>1370</v>
      </c>
      <c r="F18" s="2" t="s">
        <v>1371</v>
      </c>
      <c r="G18" s="26" t="s">
        <v>1372</v>
      </c>
      <c r="H18" s="2" t="s">
        <v>1373</v>
      </c>
      <c r="I18" s="2" t="s">
        <v>1374</v>
      </c>
      <c r="J18" s="2" t="s">
        <v>1375</v>
      </c>
      <c r="K18" s="2" t="s">
        <v>1376</v>
      </c>
    </row>
    <row r="19" spans="1:11" ht="188.25">
      <c r="A19" s="50" t="s">
        <v>1377</v>
      </c>
      <c r="B19" s="50" t="s">
        <v>122</v>
      </c>
      <c r="C19" s="50" t="s">
        <v>1378</v>
      </c>
      <c r="D19" s="50" t="s">
        <v>1379</v>
      </c>
      <c r="E19" s="50" t="s">
        <v>1380</v>
      </c>
      <c r="F19" s="50" t="s">
        <v>1381</v>
      </c>
      <c r="G19" s="50" t="s">
        <v>1382</v>
      </c>
      <c r="H19" s="50" t="s">
        <v>104</v>
      </c>
      <c r="I19" s="50" t="s">
        <v>1383</v>
      </c>
      <c r="J19" s="50"/>
      <c r="K19" s="2" t="s">
        <v>1384</v>
      </c>
    </row>
    <row r="20" spans="1:11" ht="100.15" customHeight="1">
      <c r="A20" s="50" t="s">
        <v>1385</v>
      </c>
      <c r="B20" s="2" t="s">
        <v>1286</v>
      </c>
      <c r="C20" s="50" t="s">
        <v>1386</v>
      </c>
      <c r="D20" s="50" t="s">
        <v>1387</v>
      </c>
      <c r="E20" s="50" t="s">
        <v>1388</v>
      </c>
      <c r="F20" s="50" t="s">
        <v>632</v>
      </c>
      <c r="G20" s="50" t="s">
        <v>1389</v>
      </c>
      <c r="H20" s="50" t="s">
        <v>1292</v>
      </c>
      <c r="I20" s="50"/>
      <c r="J20" s="50"/>
      <c r="K20" s="2" t="s">
        <v>1390</v>
      </c>
    </row>
    <row r="21" spans="1:11" ht="144.75" customHeight="1">
      <c r="A21" s="50" t="s">
        <v>1391</v>
      </c>
      <c r="B21" s="2" t="s">
        <v>1286</v>
      </c>
      <c r="C21" s="50" t="s">
        <v>636</v>
      </c>
      <c r="D21" s="50" t="s">
        <v>1392</v>
      </c>
      <c r="E21" s="50" t="s">
        <v>1393</v>
      </c>
      <c r="F21" s="50" t="s">
        <v>640</v>
      </c>
      <c r="G21" s="50" t="s">
        <v>1394</v>
      </c>
      <c r="H21" s="50" t="s">
        <v>1292</v>
      </c>
      <c r="I21" s="50"/>
      <c r="J21" s="50"/>
      <c r="K21" s="50"/>
    </row>
    <row r="22" spans="1:11" ht="100.15" customHeight="1">
      <c r="A22" s="50" t="s">
        <v>1395</v>
      </c>
      <c r="B22" s="2" t="s">
        <v>1286</v>
      </c>
      <c r="C22" s="50" t="s">
        <v>1396</v>
      </c>
      <c r="D22" s="50" t="s">
        <v>1397</v>
      </c>
      <c r="E22" s="50" t="s">
        <v>1398</v>
      </c>
      <c r="F22" s="50" t="s">
        <v>648</v>
      </c>
      <c r="G22" s="50" t="s">
        <v>1399</v>
      </c>
      <c r="H22" s="50" t="s">
        <v>1292</v>
      </c>
      <c r="I22" s="50"/>
      <c r="J22" s="50"/>
      <c r="K22" s="50"/>
    </row>
    <row r="23" spans="1:11" s="62" customFormat="1" ht="100.15" customHeight="1">
      <c r="A23" s="60" t="s">
        <v>788</v>
      </c>
      <c r="B23" s="61" t="s">
        <v>1286</v>
      </c>
      <c r="C23" s="60" t="s">
        <v>1400</v>
      </c>
      <c r="D23" s="60" t="s">
        <v>1401</v>
      </c>
      <c r="E23" s="60" t="s">
        <v>649</v>
      </c>
      <c r="F23" s="60" t="s">
        <v>656</v>
      </c>
      <c r="G23" s="60" t="s">
        <v>1402</v>
      </c>
      <c r="H23" s="60" t="s">
        <v>1292</v>
      </c>
      <c r="I23" s="60"/>
      <c r="J23" s="60" t="s">
        <v>1403</v>
      </c>
      <c r="K23" s="60"/>
    </row>
    <row r="24" spans="1:11" s="62" customFormat="1" ht="100.15" customHeight="1">
      <c r="A24" s="60" t="s">
        <v>1404</v>
      </c>
      <c r="B24" s="61" t="s">
        <v>1286</v>
      </c>
      <c r="C24" s="60" t="s">
        <v>1405</v>
      </c>
      <c r="D24" s="60" t="s">
        <v>1406</v>
      </c>
      <c r="E24" s="60" t="s">
        <v>657</v>
      </c>
      <c r="F24" s="60" t="s">
        <v>664</v>
      </c>
      <c r="G24" s="60" t="s">
        <v>1407</v>
      </c>
      <c r="H24" s="60" t="s">
        <v>1292</v>
      </c>
      <c r="I24" s="60"/>
      <c r="J24" s="60" t="s">
        <v>1408</v>
      </c>
      <c r="K24" s="60"/>
    </row>
    <row r="25" spans="1:11" ht="100.15" customHeight="1">
      <c r="A25" s="50" t="s">
        <v>1409</v>
      </c>
      <c r="B25" s="2" t="s">
        <v>1286</v>
      </c>
      <c r="C25" s="50" t="s">
        <v>723</v>
      </c>
      <c r="D25" s="50" t="s">
        <v>1410</v>
      </c>
      <c r="E25" s="50" t="s">
        <v>1411</v>
      </c>
      <c r="F25" s="50" t="s">
        <v>725</v>
      </c>
      <c r="G25" s="50" t="s">
        <v>1412</v>
      </c>
      <c r="H25" s="2" t="s">
        <v>1413</v>
      </c>
      <c r="I25" s="50"/>
      <c r="J25" s="60"/>
      <c r="K25" s="50"/>
    </row>
    <row r="26" spans="1:11" ht="100.15" customHeight="1">
      <c r="A26" s="50" t="s">
        <v>1414</v>
      </c>
      <c r="B26" s="2" t="s">
        <v>1286</v>
      </c>
      <c r="C26" s="50" t="s">
        <v>1415</v>
      </c>
      <c r="D26" s="50" t="s">
        <v>1416</v>
      </c>
      <c r="E26" s="50" t="s">
        <v>1417</v>
      </c>
      <c r="F26" s="50" t="s">
        <v>730</v>
      </c>
      <c r="G26" s="50" t="s">
        <v>1418</v>
      </c>
      <c r="H26" s="2" t="s">
        <v>1413</v>
      </c>
      <c r="I26" s="50"/>
      <c r="J26" s="50"/>
      <c r="K26" s="50"/>
    </row>
    <row r="27" spans="1:11" ht="100.15" customHeight="1">
      <c r="A27" s="2" t="s">
        <v>1419</v>
      </c>
      <c r="B27" s="2" t="s">
        <v>1286</v>
      </c>
      <c r="C27" s="2" t="s">
        <v>1420</v>
      </c>
      <c r="D27" s="2" t="s">
        <v>1421</v>
      </c>
      <c r="E27" s="2" t="s">
        <v>1422</v>
      </c>
      <c r="F27" s="2" t="s">
        <v>1423</v>
      </c>
      <c r="G27" s="26" t="s">
        <v>1424</v>
      </c>
      <c r="H27" s="2" t="s">
        <v>1413</v>
      </c>
      <c r="I27" s="2" t="s">
        <v>1425</v>
      </c>
      <c r="J27" s="2"/>
      <c r="K27" s="2"/>
    </row>
    <row r="28" spans="1:11" ht="138" customHeight="1">
      <c r="A28" s="50" t="s">
        <v>1426</v>
      </c>
      <c r="B28" s="2" t="s">
        <v>1286</v>
      </c>
      <c r="C28" s="50" t="str">
        <f>VLOOKUP(E28,'[1]3. Column Info'!B$197:E$604,4,FALSE)</f>
        <v>The difference between actual WoC (Weeks of Credit) and the target value. Positive value = payment term exceeded; negative value = payment term undercut. Operational control indicator for receivables management.</v>
      </c>
      <c r="D28" s="50" t="s">
        <v>1427</v>
      </c>
      <c r="E28" s="50" t="s">
        <v>731</v>
      </c>
      <c r="F28" s="50" t="s">
        <v>737</v>
      </c>
      <c r="G28" s="50" t="s">
        <v>1428</v>
      </c>
      <c r="H28" s="2" t="s">
        <v>1413</v>
      </c>
      <c r="I28" s="50"/>
      <c r="J28" s="50"/>
      <c r="K28" s="50"/>
    </row>
    <row r="29" spans="1:11" ht="100.15" customHeight="1">
      <c r="A29" s="50" t="s">
        <v>1429</v>
      </c>
      <c r="B29" s="2" t="s">
        <v>1286</v>
      </c>
      <c r="C29" s="50" t="s">
        <v>1430</v>
      </c>
      <c r="D29" s="50" t="s">
        <v>1431</v>
      </c>
      <c r="E29" s="50" t="s">
        <v>1432</v>
      </c>
      <c r="F29" s="50" t="s">
        <v>745</v>
      </c>
      <c r="G29" s="50" t="s">
        <v>1433</v>
      </c>
      <c r="H29" s="2" t="s">
        <v>1413</v>
      </c>
      <c r="I29" s="50"/>
      <c r="J29" s="50"/>
      <c r="K29" s="50"/>
    </row>
    <row r="30" spans="1:11" ht="100.15" customHeight="1">
      <c r="A30" s="50" t="s">
        <v>1434</v>
      </c>
      <c r="B30" s="2" t="s">
        <v>1286</v>
      </c>
      <c r="C30" s="50" t="s">
        <v>749</v>
      </c>
      <c r="D30" s="50" t="s">
        <v>1435</v>
      </c>
      <c r="E30" s="50" t="s">
        <v>1436</v>
      </c>
      <c r="F30" s="50" t="s">
        <v>750</v>
      </c>
      <c r="G30" s="50" t="s">
        <v>1437</v>
      </c>
      <c r="H30" s="2" t="s">
        <v>1413</v>
      </c>
      <c r="I30" s="50"/>
      <c r="J30" s="50"/>
      <c r="K30" s="50"/>
    </row>
    <row r="31" spans="1:11" ht="100.15" customHeight="1">
      <c r="A31" s="50" t="s">
        <v>1438</v>
      </c>
      <c r="B31" s="2" t="s">
        <v>1286</v>
      </c>
      <c r="C31" s="50" t="s">
        <v>1439</v>
      </c>
      <c r="D31" s="50" t="s">
        <v>1440</v>
      </c>
      <c r="E31" s="50" t="s">
        <v>1441</v>
      </c>
      <c r="F31" s="50" t="s">
        <v>757</v>
      </c>
      <c r="G31" s="50" t="s">
        <v>1442</v>
      </c>
      <c r="H31" s="2" t="s">
        <v>1413</v>
      </c>
      <c r="I31" s="50"/>
      <c r="J31" s="50"/>
      <c r="K31" s="50"/>
    </row>
    <row r="32" spans="1:11" ht="100.15" customHeight="1">
      <c r="A32" s="50" t="s">
        <v>1443</v>
      </c>
      <c r="B32" s="2" t="s">
        <v>1286</v>
      </c>
      <c r="C32" s="50" t="s">
        <v>1444</v>
      </c>
      <c r="D32" s="50" t="s">
        <v>1445</v>
      </c>
      <c r="E32" s="50" t="s">
        <v>1446</v>
      </c>
      <c r="F32" s="50" t="s">
        <v>763</v>
      </c>
      <c r="G32" s="50" t="s">
        <v>1447</v>
      </c>
      <c r="H32" s="2" t="s">
        <v>1413</v>
      </c>
      <c r="I32" s="50"/>
      <c r="J32" s="50"/>
      <c r="K32" s="50"/>
    </row>
    <row r="33" spans="1:11" ht="100.15" customHeight="1">
      <c r="A33" s="50" t="s">
        <v>1448</v>
      </c>
      <c r="B33" s="2" t="s">
        <v>1286</v>
      </c>
      <c r="C33" s="50" t="s">
        <v>1449</v>
      </c>
      <c r="D33" s="50" t="s">
        <v>1450</v>
      </c>
      <c r="E33" s="50" t="s">
        <v>1451</v>
      </c>
      <c r="F33" s="50" t="s">
        <v>769</v>
      </c>
      <c r="G33" s="50" t="s">
        <v>1452</v>
      </c>
      <c r="H33" s="2" t="s">
        <v>1413</v>
      </c>
      <c r="I33" s="50"/>
      <c r="J33" s="50"/>
      <c r="K33" s="50"/>
    </row>
    <row r="34" spans="1:11" ht="100.15" customHeight="1">
      <c r="A34" s="50" t="s">
        <v>833</v>
      </c>
      <c r="B34" s="2" t="s">
        <v>122</v>
      </c>
      <c r="C34" s="50" t="str">
        <f>VLOOKUP(E34,'[1]3. Column Info'!B$197:E$604,4,FALSE)</f>
        <v>The total invoiced quantity (in KG) before deduction of credit memos and returns, as recorded in SAP Profitability Analysis (CO-PA). Starting figure of the CO-PA revenue calculation.</v>
      </c>
      <c r="D34" s="26" t="s">
        <v>1453</v>
      </c>
      <c r="E34" s="50" t="s">
        <v>831</v>
      </c>
      <c r="F34" s="50" t="s">
        <v>836</v>
      </c>
      <c r="G34" s="50" t="s">
        <v>1454</v>
      </c>
      <c r="H34" s="2" t="s">
        <v>104</v>
      </c>
      <c r="I34" s="50"/>
      <c r="J34" s="50"/>
      <c r="K34" s="50"/>
    </row>
    <row r="35" spans="1:11" ht="100.15" customHeight="1">
      <c r="A35" s="50" t="s">
        <v>839</v>
      </c>
      <c r="B35" s="2" t="s">
        <v>122</v>
      </c>
      <c r="C35" s="50" t="str">
        <f>VLOOKUP(E35,'[1]3. Column Info'!B$197:E$604,4,FALSE)</f>
        <v>The total invoiced revenue (gross revenues) before deduction of discounts, bonuses and other revenue deductions, recorded in CO-PA. Starting point of the revenue calculation in the contribution margin scheme.</v>
      </c>
      <c r="D35" s="50" t="s">
        <v>1455</v>
      </c>
      <c r="E35" s="50" t="s">
        <v>837</v>
      </c>
      <c r="F35" s="50" t="s">
        <v>842</v>
      </c>
      <c r="G35" s="50" t="s">
        <v>1456</v>
      </c>
      <c r="H35" s="2" t="s">
        <v>104</v>
      </c>
      <c r="I35" s="50"/>
      <c r="J35" s="50"/>
      <c r="K35" s="50"/>
    </row>
    <row r="36" spans="1:11" ht="100.15" customHeight="1">
      <c r="A36" s="50" t="s">
        <v>845</v>
      </c>
      <c r="B36" s="2" t="s">
        <v>122</v>
      </c>
      <c r="C36" s="50" t="str">
        <f>VLOOKUP(E36,'[1]3. Column Info'!B$197:E$604,4,FALSE)</f>
        <v>Net Sales less sales adjustments, represents revenue after application of sales deductions and sales adjustments within CO-PA reporting.</v>
      </c>
      <c r="D36" s="50" t="s">
        <v>1457</v>
      </c>
      <c r="E36" s="50" t="s">
        <v>843</v>
      </c>
      <c r="F36" s="50" t="s">
        <v>847</v>
      </c>
      <c r="G36" s="50" t="s">
        <v>1458</v>
      </c>
      <c r="H36" s="2" t="s">
        <v>104</v>
      </c>
      <c r="I36" s="50"/>
      <c r="J36" s="50"/>
      <c r="K36" s="50"/>
    </row>
    <row r="37" spans="1:11" ht="100.15" customHeight="1">
      <c r="A37" s="50" t="s">
        <v>850</v>
      </c>
      <c r="B37" s="2" t="s">
        <v>122</v>
      </c>
      <c r="C37" s="50" t="str">
        <f>VLOOKUP(E37,'[1]3. Column Info'!B$197:E$604,4,FALSE)</f>
        <v xml:space="preserve">Gross Sales less sales deductions. </v>
      </c>
      <c r="D37" s="2" t="s">
        <v>1459</v>
      </c>
      <c r="E37" s="50" t="s">
        <v>848</v>
      </c>
      <c r="F37" s="50" t="s">
        <v>852</v>
      </c>
      <c r="G37" s="50" t="s">
        <v>1460</v>
      </c>
      <c r="H37" s="2" t="s">
        <v>104</v>
      </c>
      <c r="I37" s="50"/>
      <c r="J37" s="50"/>
      <c r="K37" s="50"/>
    </row>
    <row r="38" spans="1:11" ht="100.15" customHeight="1">
      <c r="A38" s="50" t="s">
        <v>855</v>
      </c>
      <c r="B38" s="2" t="s">
        <v>122</v>
      </c>
      <c r="C38" s="50" t="str">
        <f>VLOOKUP(E38,'[1]3. Column Info'!B$197:E$604,4,FALSE)</f>
        <v>Correction postings to revenue in CO-PA, e.g. quantity corrections, price corrections of retrospectively posted conditions or periodic revaluations. Reported between Net Proceeds and Net Sales.</v>
      </c>
      <c r="D38" s="50" t="s">
        <v>1461</v>
      </c>
      <c r="E38" s="50" t="s">
        <v>853</v>
      </c>
      <c r="F38" s="50" t="s">
        <v>857</v>
      </c>
      <c r="G38" s="50" t="s">
        <v>1462</v>
      </c>
      <c r="H38" s="2" t="s">
        <v>104</v>
      </c>
      <c r="I38" s="50"/>
      <c r="J38" s="50"/>
      <c r="K38" s="50"/>
    </row>
    <row r="39" spans="1:11" ht="100.15" customHeight="1">
      <c r="A39" s="50" t="s">
        <v>860</v>
      </c>
      <c r="B39" s="2" t="s">
        <v>122</v>
      </c>
      <c r="C39" s="50" t="str">
        <f>VLOOKUP(E39,'[1]3. Column Info'!B$197:E$604,4,FALSE)</f>
        <v xml:space="preserve">All deductions from gross sales in CO-PA, e.g. customer discounts, volume discounts, bonuses, cash discounts and commissions. </v>
      </c>
      <c r="D39" s="50" t="s">
        <v>1463</v>
      </c>
      <c r="E39" s="50" t="s">
        <v>858</v>
      </c>
      <c r="F39" s="50" t="s">
        <v>862</v>
      </c>
      <c r="G39" s="50" t="s">
        <v>1464</v>
      </c>
      <c r="H39" s="2" t="s">
        <v>104</v>
      </c>
      <c r="I39" s="50"/>
      <c r="J39" s="50"/>
      <c r="K39" s="50"/>
    </row>
    <row r="40" spans="1:11" ht="100.15" customHeight="1">
      <c r="A40" s="50" t="s">
        <v>1465</v>
      </c>
      <c r="B40" s="2" t="s">
        <v>122</v>
      </c>
      <c r="C40" s="50" t="str">
        <f>VLOOKUP(E40,'[1]3. Column Info'!B$197:E$604,4,FALSE)</f>
        <v>Net proceeds less variable product Costs. Central steering indicator for portfolio decisions and pricing (DICE process).</v>
      </c>
      <c r="D40" s="50" t="s">
        <v>1466</v>
      </c>
      <c r="E40" s="2" t="s">
        <v>885</v>
      </c>
      <c r="F40" s="50" t="s">
        <v>890</v>
      </c>
      <c r="G40" s="50" t="s">
        <v>1467</v>
      </c>
      <c r="H40" s="2" t="s">
        <v>110</v>
      </c>
      <c r="I40" s="50"/>
      <c r="J40" s="50"/>
      <c r="K40" s="50"/>
    </row>
    <row r="41" spans="1:11" ht="100.15" customHeight="1">
      <c r="A41" s="50" t="s">
        <v>1468</v>
      </c>
      <c r="B41" s="2" t="s">
        <v>122</v>
      </c>
      <c r="C41" s="50" t="e">
        <f>VLOOKUP(E41,'[1]3. Column Info'!B$197:E$604,4,FALSE)</f>
        <v>#N/A</v>
      </c>
      <c r="D41" s="50" t="s">
        <v>1469</v>
      </c>
      <c r="E41" s="2" t="s">
        <v>879</v>
      </c>
      <c r="F41" s="50" t="s">
        <v>1470</v>
      </c>
      <c r="G41" s="2" t="s">
        <v>1471</v>
      </c>
      <c r="H41" s="2" t="s">
        <v>110</v>
      </c>
      <c r="I41" s="50"/>
      <c r="J41" s="50"/>
      <c r="K41" s="50"/>
    </row>
    <row r="42" spans="1:11" ht="100.15" customHeight="1">
      <c r="A42" s="50" t="s">
        <v>893</v>
      </c>
      <c r="B42" s="2" t="s">
        <v>122</v>
      </c>
      <c r="C42" s="50" t="str">
        <f>VLOOKUP(E42,'[1]3. Column Info'!B$197:E$604,4,FALSE)</f>
        <v>Gross sales on a consolidated COSMOS basis. Corresponds to the invoiced revenue from external sales (approx. 99% of total sales) before sales deductions are subtracted. Based on CO-PA data, enriched by COSMOS consolidation logic.</v>
      </c>
      <c r="D42" s="50" t="s">
        <v>1472</v>
      </c>
      <c r="E42" s="2" t="s">
        <v>891</v>
      </c>
      <c r="F42" s="50" t="s">
        <v>896</v>
      </c>
      <c r="G42" s="2" t="s">
        <v>1473</v>
      </c>
      <c r="H42" s="2" t="s">
        <v>110</v>
      </c>
      <c r="I42" s="50"/>
      <c r="J42" s="50"/>
      <c r="K42" s="50"/>
    </row>
    <row r="43" spans="1:11" ht="100.15" customHeight="1">
      <c r="A43" s="50" t="s">
        <v>899</v>
      </c>
      <c r="B43" s="2" t="s">
        <v>122</v>
      </c>
      <c r="C43" s="50" t="str">
        <f>VLOOKUP(E43,'[1]3. Column Info'!B$197:E$604,4,FALSE)</f>
        <v>The total quantity (in KG) of all sales on a COSMOS basis, including internal (intercompany) and external deliveries. "in+ex" stands for internal + external. Used as the volume basis for the calculation of unit costs (e.g. Product Costs, Var./KG).</v>
      </c>
      <c r="D43" s="50" t="s">
        <v>1474</v>
      </c>
      <c r="E43" s="50" t="s">
        <v>897</v>
      </c>
      <c r="F43" s="50" t="s">
        <v>902</v>
      </c>
      <c r="G43" s="2" t="s">
        <v>1475</v>
      </c>
      <c r="H43" s="2" t="s">
        <v>110</v>
      </c>
      <c r="I43" s="50"/>
      <c r="J43" s="50"/>
      <c r="K43" s="50"/>
    </row>
    <row r="44" spans="1:11" ht="100.15" customHeight="1">
      <c r="A44" s="50" t="s">
        <v>905</v>
      </c>
      <c r="B44" s="2" t="s">
        <v>122</v>
      </c>
      <c r="C44" s="50" t="str">
        <f>VLOOKUP(E44,'[1]3. Column Info'!B$197:E$604,4,FALSE)</f>
        <v>Net sales less sales adjustments on a consolidated COSMOS basis, represents revenue after application of sales deductions and sales adjustments</v>
      </c>
      <c r="D44" s="50" t="s">
        <v>1476</v>
      </c>
      <c r="E44" s="50" t="s">
        <v>903</v>
      </c>
      <c r="F44" s="50" t="s">
        <v>908</v>
      </c>
      <c r="G44" s="2" t="s">
        <v>1477</v>
      </c>
      <c r="H44" s="2" t="s">
        <v>110</v>
      </c>
      <c r="I44" s="50"/>
      <c r="J44" s="50"/>
      <c r="K44" s="50"/>
    </row>
    <row r="45" spans="1:11" ht="100.15" customHeight="1">
      <c r="A45" s="50" t="s">
        <v>911</v>
      </c>
      <c r="B45" s="2" t="s">
        <v>122</v>
      </c>
      <c r="C45" s="50" t="str">
        <f>VLOOKUP(E45,'[1]3. Column Info'!B$197:E$604,4,FALSE)</f>
        <v>Gross sales less Sales deductions on a COSMOS basis. Corresponds to the final net sales after all revenue deductions and corrections in the consolidated margin reporting.</v>
      </c>
      <c r="D45" s="50" t="s">
        <v>1478</v>
      </c>
      <c r="E45" s="50" t="s">
        <v>909</v>
      </c>
      <c r="F45" s="50" t="s">
        <v>913</v>
      </c>
      <c r="G45" s="2" t="s">
        <v>1479</v>
      </c>
      <c r="H45" s="2" t="s">
        <v>110</v>
      </c>
      <c r="I45" s="50"/>
      <c r="J45" s="50"/>
      <c r="K45" s="50"/>
    </row>
    <row r="46" spans="1:11" ht="100.15" customHeight="1">
      <c r="A46" s="50" t="s">
        <v>1480</v>
      </c>
      <c r="B46" s="2" t="s">
        <v>122</v>
      </c>
      <c r="C46" s="50" t="e">
        <f>VLOOKUP(E46,'[1]3. Column Info'!B$197:E$604,4,FALSE)</f>
        <v>#N/A</v>
      </c>
      <c r="D46" s="50" t="s">
        <v>1481</v>
      </c>
      <c r="E46" s="50" t="s">
        <v>914</v>
      </c>
      <c r="F46" s="50" t="s">
        <v>919</v>
      </c>
      <c r="G46" s="2" t="s">
        <v>1482</v>
      </c>
      <c r="H46" s="2" t="s">
        <v>110</v>
      </c>
      <c r="I46" s="50"/>
      <c r="J46" s="50"/>
      <c r="K46" s="50"/>
    </row>
    <row r="47" spans="1:11" ht="100.15" customHeight="1">
      <c r="A47" s="50" t="s">
        <v>1483</v>
      </c>
      <c r="B47" s="2" t="s">
        <v>122</v>
      </c>
      <c r="C47" s="50" t="str">
        <f>VLOOKUP(E47,'[1]3. Column Info'!B$197:E$604,4,FALSE)</f>
        <v>Correction postings to revenue on a COSMOS basis. Corresponds in content to the CO-PA Sales Adjustments, but in the consolidated COSMOS context. Reported between Net Proceeds and Net Sales.</v>
      </c>
      <c r="D47" s="50" t="s">
        <v>1484</v>
      </c>
      <c r="E47" s="50" t="s">
        <v>920</v>
      </c>
      <c r="F47" s="50" t="s">
        <v>1485</v>
      </c>
      <c r="G47" s="2" t="s">
        <v>1486</v>
      </c>
      <c r="H47" s="2" t="s">
        <v>110</v>
      </c>
      <c r="I47" s="50"/>
      <c r="J47" s="50"/>
      <c r="K47" s="50"/>
    </row>
    <row r="48" spans="1:11" ht="100.15" customHeight="1">
      <c r="A48" s="50" t="s">
        <v>928</v>
      </c>
      <c r="B48" s="2" t="s">
        <v>122</v>
      </c>
      <c r="C48" s="50" t="str">
        <f>VLOOKUP(E48,'[1]3. Column Info'!B$197:E$604,4,FALSE)</f>
        <v>Sales deductions on a consolidated COSMOS basis. Originate from the unconsolidated CO-PA dataset (discounts, bonuses, cash discounts, commissions) and flow unchanged into the COSMOS calculation.</v>
      </c>
      <c r="D48" s="50" t="s">
        <v>1487</v>
      </c>
      <c r="E48" s="50" t="s">
        <v>926</v>
      </c>
      <c r="F48" s="50" t="s">
        <v>930</v>
      </c>
      <c r="G48" s="2" t="s">
        <v>1467</v>
      </c>
      <c r="H48" s="2" t="s">
        <v>110</v>
      </c>
      <c r="I48" s="50"/>
      <c r="J48" s="50"/>
      <c r="K48" s="50"/>
    </row>
    <row r="49" spans="1:11" ht="100.15" customHeight="1">
      <c r="A49" s="50" t="s">
        <v>1488</v>
      </c>
      <c r="B49" s="2" t="s">
        <v>122</v>
      </c>
      <c r="C49" s="50" t="s">
        <v>1489</v>
      </c>
      <c r="D49" s="50" t="s">
        <v>1490</v>
      </c>
      <c r="E49" s="50" t="s">
        <v>931</v>
      </c>
      <c r="F49" s="50" t="s">
        <v>936</v>
      </c>
      <c r="G49" s="2" t="s">
        <v>1491</v>
      </c>
      <c r="H49" s="2" t="s">
        <v>110</v>
      </c>
      <c r="I49" s="50"/>
      <c r="J49" s="50"/>
      <c r="K49" s="50"/>
    </row>
    <row r="50" spans="1:11" ht="100.15" customHeight="1">
      <c r="A50" s="50" t="s">
        <v>1492</v>
      </c>
      <c r="B50" s="50" t="s">
        <v>116</v>
      </c>
      <c r="C50" s="50" t="s">
        <v>1253</v>
      </c>
      <c r="D50" s="50" t="s">
        <v>1493</v>
      </c>
      <c r="E50" s="2" t="s">
        <v>1250</v>
      </c>
      <c r="F50" s="50" t="s">
        <v>1494</v>
      </c>
      <c r="G50" s="2" t="s">
        <v>1495</v>
      </c>
      <c r="H50" s="2" t="s">
        <v>116</v>
      </c>
      <c r="I50" s="50"/>
      <c r="J50" s="50"/>
      <c r="K50" s="50"/>
    </row>
    <row r="51" spans="1:11" ht="100.15" customHeight="1">
      <c r="A51" s="50" t="s">
        <v>1496</v>
      </c>
      <c r="B51" s="50" t="s">
        <v>116</v>
      </c>
      <c r="C51" s="50" t="str">
        <f>VLOOKUP(E51,'[1]3. Column Info'!B$197:E$604,4,FALSE)</f>
        <v>Number of deliveries that were delivered both on time and in full quantity. Numerator for the OTIF rate. A delivery is only considered OTIF if both conditions are fulfilled simultaneously.</v>
      </c>
      <c r="D51" s="50" t="s">
        <v>1497</v>
      </c>
      <c r="E51" s="50" t="s">
        <v>1064</v>
      </c>
      <c r="F51" s="50" t="s">
        <v>1070</v>
      </c>
      <c r="G51" s="2" t="s">
        <v>1498</v>
      </c>
      <c r="H51" s="2" t="s">
        <v>116</v>
      </c>
      <c r="I51" s="50"/>
      <c r="J51" s="50"/>
      <c r="K51" s="50"/>
    </row>
    <row r="52" spans="1:11" ht="100.15" customHeight="1">
      <c r="A52" s="50" t="s">
        <v>1499</v>
      </c>
      <c r="B52" s="50" t="s">
        <v>116</v>
      </c>
      <c r="C52" s="50" t="str">
        <f>VLOOKUP(E52,'[1]3. Column Info'!B$197:E$604,4,FALSE)</f>
        <v>Number of deliveries where the actual goods issue (Actual GI Date) occurred after the planned goods issue date (Plan. goods is. date). Identifies delays in the internal dispatch process as a root cause of OTIF deviations.</v>
      </c>
      <c r="D52" s="50" t="s">
        <v>1500</v>
      </c>
      <c r="E52" s="50" t="s">
        <v>1071</v>
      </c>
      <c r="F52" s="50" t="s">
        <v>1501</v>
      </c>
      <c r="G52" s="2" t="s">
        <v>1502</v>
      </c>
      <c r="H52" s="2" t="s">
        <v>116</v>
      </c>
      <c r="I52" s="50"/>
      <c r="J52" s="50"/>
      <c r="K52" s="50"/>
    </row>
    <row r="53" spans="1:11" ht="100.15" customHeight="1">
      <c r="A53" s="50" t="s">
        <v>1503</v>
      </c>
      <c r="B53" s="50" t="s">
        <v>116</v>
      </c>
      <c r="C53" s="50" t="str">
        <f>VLOOKUP(E53,'[1]3. Column Info'!B$197:E$604,4,FALSE)</f>
        <v xml:space="preserve">Number of deliveries that were late and delivered in full quantity. </v>
      </c>
      <c r="D53" s="50" t="s">
        <v>1504</v>
      </c>
      <c r="E53" s="50" t="s">
        <v>1077</v>
      </c>
      <c r="F53" s="50" t="s">
        <v>1505</v>
      </c>
      <c r="G53" s="2" t="s">
        <v>1506</v>
      </c>
      <c r="H53" s="2" t="s">
        <v>116</v>
      </c>
      <c r="I53" s="50"/>
      <c r="J53" s="50"/>
      <c r="K53" s="50"/>
    </row>
    <row r="54" spans="1:11" ht="100.15" customHeight="1">
      <c r="A54" s="50" t="s">
        <v>1507</v>
      </c>
      <c r="B54" s="50" t="s">
        <v>116</v>
      </c>
      <c r="C54" s="50" t="str">
        <f>VLOOKUP(E54,'[1]3. Column Info'!B$197:E$604,4,FALSE)</f>
        <v>Number of deliveries that were late and not delivered in full quantity (Not In Full). NIF = Not In Full. Sub-category for combined quantity and schedule deviations in OTIF reporting. Worst-case category in the OTIF framework.</v>
      </c>
      <c r="D54" s="50" t="s">
        <v>1508</v>
      </c>
      <c r="E54" s="50" t="s">
        <v>1082</v>
      </c>
      <c r="F54" s="50" t="s">
        <v>1509</v>
      </c>
      <c r="G54" s="2" t="s">
        <v>1510</v>
      </c>
      <c r="H54" s="2" t="s">
        <v>116</v>
      </c>
      <c r="I54" s="50"/>
      <c r="J54" s="50"/>
      <c r="K54" s="50"/>
    </row>
    <row r="55" spans="1:11" ht="100.15" customHeight="1">
      <c r="A55" s="50" t="s">
        <v>1511</v>
      </c>
      <c r="B55" s="50" t="s">
        <v>116</v>
      </c>
      <c r="C55" s="50" t="str">
        <f>VLOOKUP(E55,'[1]3. Column Info'!B$197:E$604,4,FALSE)</f>
        <v>Number of deliveries where order creation (Order Creation) occurred too late and thereby contributed to the overall delay. Identifies administrative delays in order management as an OTIF root cause.</v>
      </c>
      <c r="D55" s="50" t="s">
        <v>1512</v>
      </c>
      <c r="E55" s="50" t="s">
        <v>1088</v>
      </c>
      <c r="F55" s="50" t="s">
        <v>1513</v>
      </c>
      <c r="G55" s="2" t="s">
        <v>1514</v>
      </c>
      <c r="H55" s="2" t="s">
        <v>116</v>
      </c>
      <c r="I55" s="50"/>
      <c r="J55" s="50"/>
      <c r="K55" s="50"/>
    </row>
    <row r="56" spans="1:11" ht="100.15" customHeight="1">
      <c r="A56" s="50" t="s">
        <v>1515</v>
      </c>
      <c r="B56" s="50" t="s">
        <v>116</v>
      </c>
      <c r="C56" s="50" t="str">
        <f>VLOOKUP(E56,'[1]3. Column Info'!B$197:E$604,4,FALSE)</f>
        <v>Number of deliveries where transport (carrier/freight forwarder) was identified as the cause of the delay. Used for transport service provider evaluation and carrier performance analysis.</v>
      </c>
      <c r="D56" s="50" t="s">
        <v>1516</v>
      </c>
      <c r="E56" s="50" t="s">
        <v>1094</v>
      </c>
      <c r="F56" s="50" t="s">
        <v>1099</v>
      </c>
      <c r="G56" s="2" t="s">
        <v>1517</v>
      </c>
      <c r="H56" s="2" t="s">
        <v>116</v>
      </c>
      <c r="I56" s="50"/>
      <c r="J56" s="50"/>
      <c r="K56" s="50"/>
    </row>
    <row r="57" spans="1:11" ht="100.15" customHeight="1">
      <c r="A57" s="50" t="s">
        <v>1518</v>
      </c>
      <c r="B57" s="50" t="s">
        <v>116</v>
      </c>
      <c r="C57" s="50" t="str">
        <f>VLOOKUP(E57,'[1]3. Column Info'!B$197:E$604,4,FALSE)</f>
        <v>Number of deliveries where the delivered quantity was less than the confirmed/ordered quantity, regardless of delivery timing. Sub-component of the OTIF KPI for identifying quantity shortfalls.</v>
      </c>
      <c r="D57" s="50" t="s">
        <v>1519</v>
      </c>
      <c r="E57" s="50" t="s">
        <v>1100</v>
      </c>
      <c r="F57" s="50" t="s">
        <v>1104</v>
      </c>
      <c r="G57" s="2" t="s">
        <v>1520</v>
      </c>
      <c r="H57" s="2" t="s">
        <v>116</v>
      </c>
      <c r="I57" s="50"/>
      <c r="J57" s="50"/>
      <c r="K57" s="50"/>
    </row>
    <row r="58" spans="1:11" ht="100.15" customHeight="1">
      <c r="A58" s="50" t="s">
        <v>1521</v>
      </c>
      <c r="B58" s="50" t="s">
        <v>116</v>
      </c>
      <c r="C58" s="50" t="str">
        <f>VLOOKUP(E58,'[1]3. Column Info'!B$197:E$604,4,FALSE)</f>
        <v>Number of deliveries that arrived at the customer on or before the agreed delivery date, regardless of the quantity delivered. Sub-component of the OT8IF KPI.</v>
      </c>
      <c r="D58" s="50" t="s">
        <v>1522</v>
      </c>
      <c r="E58" s="50" t="s">
        <v>1105</v>
      </c>
      <c r="F58" s="50" t="s">
        <v>1523</v>
      </c>
      <c r="G58" s="2" t="s">
        <v>1524</v>
      </c>
      <c r="H58" s="2" t="s">
        <v>116</v>
      </c>
      <c r="I58" s="50"/>
      <c r="J58" s="50"/>
      <c r="K58" s="50"/>
    </row>
    <row r="59" spans="1:11" ht="100.15" customHeight="1">
      <c r="A59" s="50" t="s">
        <v>1525</v>
      </c>
      <c r="B59" s="50" t="s">
        <v>116</v>
      </c>
      <c r="C59" s="50" t="str">
        <f>VLOOKUP(E59,'[1]3. Column Info'!B$197:E$604,4,FALSE)</f>
        <v>The total number of all evaluated deliveries in the reporting period. Denominator for the calculation of the OTIF rate: OTIF% = # OTIF / # total deliveries × 100.</v>
      </c>
      <c r="D59" s="50" t="s">
        <v>1526</v>
      </c>
      <c r="E59" s="50" t="s">
        <v>1110</v>
      </c>
      <c r="F59" s="50" t="s">
        <v>1114</v>
      </c>
      <c r="G59" s="2" t="s">
        <v>1527</v>
      </c>
      <c r="H59" s="2" t="s">
        <v>116</v>
      </c>
      <c r="I59" s="50"/>
      <c r="J59" s="50"/>
      <c r="K59" s="50"/>
    </row>
    <row r="60" spans="1:11" ht="100.15" customHeight="1">
      <c r="A60" s="50" t="s">
        <v>1528</v>
      </c>
      <c r="B60" s="50" t="s">
        <v>116</v>
      </c>
      <c r="C60" s="50" t="str">
        <f>VLOOKUP(E60,'[1]3. Column Info'!B$197:E$604,4,FALSE)</f>
        <v>Total number of all deliveries that arrived at the customer after the agreed delivery date, regardless of quantity completeness.</v>
      </c>
      <c r="D60" s="50" t="s">
        <v>1529</v>
      </c>
      <c r="E60" s="50" t="s">
        <v>1115</v>
      </c>
      <c r="F60" s="50" t="s">
        <v>1530</v>
      </c>
      <c r="G60" s="2" t="s">
        <v>1531</v>
      </c>
      <c r="H60" s="2" t="s">
        <v>116</v>
      </c>
      <c r="I60" s="50"/>
      <c r="J60" s="50"/>
      <c r="K60" s="50"/>
    </row>
    <row r="61" spans="1:11" ht="100.15" customHeight="1">
      <c r="A61" s="50" t="s">
        <v>1532</v>
      </c>
      <c r="B61" s="50" t="s">
        <v>116</v>
      </c>
      <c r="C61" s="50" t="str">
        <f>VLOOKUP(E61,'[1]3. Column Info'!B$197:E$604,4,FALSE)</f>
        <v>Count of all deliveries that are either late, not in full, or both. Includes Late-In-Full, On-Time-Not-In-Full, and Late-Not-In-Full deliveries. Each delivery is counted only once.</v>
      </c>
      <c r="D61" s="50" t="s">
        <v>1533</v>
      </c>
      <c r="E61" s="50" t="s">
        <v>1120</v>
      </c>
      <c r="F61" s="50" t="s">
        <v>1534</v>
      </c>
      <c r="G61" s="2" t="s">
        <v>1535</v>
      </c>
      <c r="H61" s="2" t="s">
        <v>116</v>
      </c>
      <c r="I61" s="50"/>
      <c r="J61" s="50"/>
      <c r="K61" s="50"/>
    </row>
    <row r="62" spans="1:11" ht="100.15" customHeight="1">
      <c r="A62" s="50" t="s">
        <v>1536</v>
      </c>
      <c r="B62" s="50" t="s">
        <v>116</v>
      </c>
      <c r="C62" s="50" t="str">
        <f>VLOOKUP(E62,'[1]3. Column Info'!B$197:E$604,4,FALSE)</f>
        <v>The confirmed/agreed delivery quantity in kilograms from the customer order. Reference figure for the In-Full assessment: if the actually delivered quantity is ≥ agreed quantity, the delivery is classified as "In Full".</v>
      </c>
      <c r="D62" s="50" t="s">
        <v>1537</v>
      </c>
      <c r="E62" s="50" t="s">
        <v>1125</v>
      </c>
      <c r="F62" s="50" t="s">
        <v>1130</v>
      </c>
      <c r="G62" s="2" t="s">
        <v>1538</v>
      </c>
      <c r="H62" s="2" t="s">
        <v>116</v>
      </c>
      <c r="I62" s="50"/>
      <c r="J62" s="50"/>
      <c r="K62" s="50"/>
    </row>
    <row r="63" spans="1:11" ht="100.15" customHeight="1">
      <c r="A63" s="50" t="s">
        <v>1539</v>
      </c>
      <c r="B63" s="50" t="s">
        <v>116</v>
      </c>
      <c r="C63" s="50" t="str">
        <f>VLOOKUP(E63,'[1]3. Column Info'!B$197:E$604,4,FALSE)</f>
        <v>The quantity actually delivered to the customer in kilograms. Compared against the agreed quantity (Agreed Quantity KG) to determine over- or underdeliveries.</v>
      </c>
      <c r="D63" s="50" t="s">
        <v>1540</v>
      </c>
      <c r="E63" s="50" t="s">
        <v>1131</v>
      </c>
      <c r="F63" s="50" t="s">
        <v>1136</v>
      </c>
      <c r="G63" s="2" t="s">
        <v>1541</v>
      </c>
      <c r="H63" s="2" t="s">
        <v>116</v>
      </c>
      <c r="I63" s="50"/>
      <c r="J63" s="50"/>
      <c r="K63" s="50"/>
    </row>
    <row r="64" spans="1:11" ht="100.15" customHeight="1">
      <c r="A64" s="50" t="s">
        <v>1542</v>
      </c>
      <c r="B64" s="50" t="s">
        <v>116</v>
      </c>
      <c r="C64" s="50" t="str">
        <f>VLOOKUP(E64,'[1]3. Column Info'!B$197:E$604,4,FALSE)</f>
        <v>The quantity in kilograms by which a delivery exceeds the agreed quantity. Positive deviation from the Agreed Quantity. May be classified as OTIF-compliant or non-compliant depending on the customer agreement.</v>
      </c>
      <c r="D64" s="50" t="s">
        <v>1543</v>
      </c>
      <c r="E64" s="50" t="s">
        <v>1137</v>
      </c>
      <c r="F64" s="50" t="s">
        <v>1143</v>
      </c>
      <c r="G64" s="2" t="s">
        <v>1544</v>
      </c>
      <c r="H64" s="2" t="s">
        <v>116</v>
      </c>
      <c r="I64" s="50"/>
      <c r="J64" s="50"/>
      <c r="K64" s="50"/>
    </row>
    <row r="65" spans="1:11" ht="100.15" customHeight="1">
      <c r="A65" s="50" t="s">
        <v>1545</v>
      </c>
      <c r="B65" s="50" t="s">
        <v>116</v>
      </c>
      <c r="C65" s="50" t="str">
        <f>VLOOKUP(E65,'[1]3. Column Info'!B$197:E$604,4,FALSE)</f>
        <v>The absolute difference between the actually delivered quantity and the agreed quantity in kilograms. Positive values indicate overdelivery; negative values indicate underdelivery.</v>
      </c>
      <c r="D65" s="50" t="s">
        <v>1546</v>
      </c>
      <c r="E65" s="50" t="s">
        <v>1144</v>
      </c>
      <c r="F65" s="50" t="s">
        <v>1149</v>
      </c>
      <c r="G65" s="2" t="s">
        <v>1547</v>
      </c>
      <c r="H65" s="2" t="s">
        <v>116</v>
      </c>
      <c r="I65" s="50"/>
      <c r="J65" s="50"/>
      <c r="K65" s="50"/>
    </row>
    <row r="66" spans="1:11" ht="100.15" customHeight="1">
      <c r="A66" s="50" t="s">
        <v>1548</v>
      </c>
      <c r="B66" s="50" t="s">
        <v>116</v>
      </c>
      <c r="C66" s="50" t="str">
        <f>VLOOKUP(E66,'[1]3. Column Info'!B$197:E$604,4,FALSE)</f>
        <v>The quantity in kilograms by which a delivery falls short of the agreed quantity. Negative deviation from the Agreed Quantity. Leads to classification as "Not In Full" and thus to an OTIF failure.</v>
      </c>
      <c r="D66" s="50" t="s">
        <v>1549</v>
      </c>
      <c r="E66" s="50" t="s">
        <v>1150</v>
      </c>
      <c r="F66" s="50" t="s">
        <v>1156</v>
      </c>
      <c r="G66" s="2" t="s">
        <v>1550</v>
      </c>
      <c r="H66" s="2" t="s">
        <v>116</v>
      </c>
      <c r="I66" s="50"/>
      <c r="J66" s="50"/>
      <c r="K66" s="50"/>
    </row>
    <row r="67" spans="1:11" ht="100.15" customHeight="1">
      <c r="A67" s="50" t="s">
        <v>1551</v>
      </c>
      <c r="B67" s="50" t="s">
        <v>122</v>
      </c>
      <c r="C67" s="50" t="str">
        <f>VLOOKUP(E67,'[1]3. Column Info'!B$197:E$604,4,FALSE)</f>
        <v>The total delivery quantity in kilograms recorded in delivery documents in the reporting period. Volume KPI in sales reporting, aggregatable by customer, product, region, etc.</v>
      </c>
      <c r="D67" s="50" t="s">
        <v>1552</v>
      </c>
      <c r="E67" s="50" t="s">
        <v>1234</v>
      </c>
      <c r="F67" s="50" t="s">
        <v>1238</v>
      </c>
      <c r="G67" s="2" t="s">
        <v>1553</v>
      </c>
      <c r="H67" s="2" t="s">
        <v>122</v>
      </c>
      <c r="I67" s="50"/>
      <c r="J67" s="50"/>
      <c r="K67" s="50"/>
    </row>
    <row r="68" spans="1:11" s="54" customFormat="1" ht="100.15" customHeight="1">
      <c r="A68" s="51" t="s">
        <v>1554</v>
      </c>
      <c r="B68" s="52" t="s">
        <v>122</v>
      </c>
      <c r="C68" s="52" t="str">
        <f>VLOOKUP(E68,'[1]3. Column Info'!B$197:E$604,4,FALSE)</f>
        <v>The net value of a delivery line item in the respective document currency (DC). Starting figure for revenue analyses prior to currency conversion to EUR.</v>
      </c>
      <c r="D68" s="52" t="s">
        <v>1555</v>
      </c>
      <c r="E68" s="52" t="s">
        <v>1239</v>
      </c>
      <c r="F68" s="52" t="s">
        <v>1244</v>
      </c>
      <c r="G68" s="51" t="s">
        <v>1556</v>
      </c>
      <c r="H68" s="53" t="s">
        <v>122</v>
      </c>
      <c r="I68" s="52"/>
      <c r="J68" s="52"/>
      <c r="K68" s="52"/>
    </row>
    <row r="69" spans="1:11" ht="100.15" customHeight="1">
      <c r="A69" s="50" t="s">
        <v>1557</v>
      </c>
      <c r="B69" s="50" t="s">
        <v>122</v>
      </c>
      <c r="C69" s="50" t="s">
        <v>1248</v>
      </c>
      <c r="D69" s="50" t="s">
        <v>1558</v>
      </c>
      <c r="E69" s="50" t="s">
        <v>1245</v>
      </c>
      <c r="F69" s="50" t="s">
        <v>1249</v>
      </c>
      <c r="G69" s="2" t="s">
        <v>1559</v>
      </c>
      <c r="H69" s="2" t="s">
        <v>122</v>
      </c>
      <c r="I69" s="50"/>
      <c r="J69" s="50"/>
      <c r="K69" s="50"/>
    </row>
    <row r="71" spans="1:11" ht="20.100000000000001" customHeight="1">
      <c r="A71" s="63" t="s">
        <v>1560</v>
      </c>
      <c r="B71" s="91"/>
      <c r="C71" s="91"/>
      <c r="D71" s="91"/>
      <c r="E71" s="91"/>
      <c r="F71" s="91"/>
      <c r="G71" s="91"/>
      <c r="H71" s="91"/>
      <c r="I71" s="91"/>
      <c r="J71" s="91"/>
      <c r="K71" s="91"/>
    </row>
  </sheetData>
  <autoFilter ref="A5:K69" xr:uid="{00000000-0001-0000-0300-000000000000}"/>
  <mergeCells count="4">
    <mergeCell ref="A1:K1"/>
    <mergeCell ref="A2:K2"/>
    <mergeCell ref="A3:K3"/>
    <mergeCell ref="A71:K7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3C76-EB5B-432D-8CD1-2B5628286900}">
  <dimension ref="A1:I165"/>
  <sheetViews>
    <sheetView topLeftCell="A150" workbookViewId="0">
      <selection activeCell="G155" sqref="G155"/>
    </sheetView>
  </sheetViews>
  <sheetFormatPr defaultColWidth="12.28515625" defaultRowHeight="15"/>
  <cols>
    <col min="3" max="3" width="29" customWidth="1"/>
    <col min="4" max="4" width="33.7109375" customWidth="1"/>
    <col min="5" max="5" width="44.7109375" customWidth="1"/>
    <col min="6" max="6" width="20.28515625" customWidth="1"/>
    <col min="7" max="7" width="49.7109375" customWidth="1"/>
    <col min="8" max="8" width="22.28515625" customWidth="1"/>
    <col min="9" max="9" width="35.7109375" customWidth="1"/>
  </cols>
  <sheetData>
    <row r="1" spans="1:9" ht="16.899999999999999" customHeight="1">
      <c r="A1" s="71" t="s">
        <v>1561</v>
      </c>
      <c r="B1" s="71"/>
      <c r="C1" s="71"/>
      <c r="D1" s="71"/>
      <c r="E1" s="71"/>
      <c r="F1" s="71"/>
      <c r="G1" s="71"/>
      <c r="H1" s="71"/>
      <c r="I1" s="71"/>
    </row>
    <row r="2" spans="1:9" ht="22.9" customHeight="1">
      <c r="A2" s="72" t="s">
        <v>1562</v>
      </c>
      <c r="B2" s="72"/>
      <c r="C2" s="72"/>
      <c r="D2" s="72"/>
      <c r="E2" s="72"/>
      <c r="F2" s="72"/>
      <c r="G2" s="72"/>
      <c r="H2" s="72"/>
      <c r="I2" s="72"/>
    </row>
    <row r="3" spans="1:9" ht="45.6" customHeight="1">
      <c r="A3" s="73" t="s">
        <v>1563</v>
      </c>
      <c r="B3" s="73"/>
      <c r="C3" s="73"/>
      <c r="D3" s="73"/>
      <c r="E3" s="73"/>
      <c r="F3" s="73"/>
      <c r="G3" s="73"/>
      <c r="H3" s="73"/>
      <c r="I3" s="73"/>
    </row>
    <row r="4" spans="1:9">
      <c r="A4" s="31" t="s">
        <v>1564</v>
      </c>
      <c r="B4" s="31" t="s">
        <v>1261</v>
      </c>
      <c r="C4" s="31" t="s">
        <v>1565</v>
      </c>
      <c r="D4" s="31" t="s">
        <v>1566</v>
      </c>
      <c r="E4" s="31" t="s">
        <v>1567</v>
      </c>
      <c r="F4" s="31" t="s">
        <v>1568</v>
      </c>
      <c r="G4" s="31" t="s">
        <v>1569</v>
      </c>
      <c r="H4" s="31" t="s">
        <v>1570</v>
      </c>
      <c r="I4" s="31" t="s">
        <v>1571</v>
      </c>
    </row>
    <row r="5" spans="1:9" ht="55.5" customHeight="1">
      <c r="A5" s="2">
        <v>1</v>
      </c>
      <c r="B5" s="2" t="s">
        <v>122</v>
      </c>
      <c r="C5" s="2" t="s">
        <v>1572</v>
      </c>
      <c r="D5" s="2" t="s">
        <v>1573</v>
      </c>
      <c r="E5" s="2" t="s">
        <v>1574</v>
      </c>
      <c r="F5" s="2" t="s">
        <v>1269</v>
      </c>
      <c r="G5" s="2" t="s">
        <v>1575</v>
      </c>
      <c r="H5" s="2" t="s">
        <v>1576</v>
      </c>
      <c r="I5" s="2" t="s">
        <v>1577</v>
      </c>
    </row>
    <row r="6" spans="1:9" ht="88.5" customHeight="1">
      <c r="A6" s="2">
        <v>2</v>
      </c>
      <c r="B6" s="2" t="s">
        <v>122</v>
      </c>
      <c r="C6" s="2" t="s">
        <v>1578</v>
      </c>
      <c r="D6" s="2" t="s">
        <v>1573</v>
      </c>
      <c r="E6" s="2" t="s">
        <v>1579</v>
      </c>
      <c r="F6" s="2" t="s">
        <v>1269</v>
      </c>
      <c r="G6" s="2" t="s">
        <v>1580</v>
      </c>
      <c r="H6" s="2" t="s">
        <v>1581</v>
      </c>
      <c r="I6" s="2" t="s">
        <v>1577</v>
      </c>
    </row>
    <row r="7" spans="1:9" ht="62.25" customHeight="1">
      <c r="A7" s="2">
        <v>3</v>
      </c>
      <c r="B7" s="2" t="s">
        <v>122</v>
      </c>
      <c r="C7" s="2" t="s">
        <v>1582</v>
      </c>
      <c r="D7" s="2" t="s">
        <v>1573</v>
      </c>
      <c r="E7" s="2" t="s">
        <v>1583</v>
      </c>
      <c r="F7" s="2" t="s">
        <v>1269</v>
      </c>
      <c r="G7" s="2" t="s">
        <v>1584</v>
      </c>
      <c r="H7" s="2" t="s">
        <v>1585</v>
      </c>
      <c r="I7" s="2" t="s">
        <v>1577</v>
      </c>
    </row>
    <row r="8" spans="1:9" ht="121.5">
      <c r="A8" s="2">
        <v>4</v>
      </c>
      <c r="B8" s="2" t="s">
        <v>122</v>
      </c>
      <c r="C8" s="2" t="s">
        <v>1586</v>
      </c>
      <c r="D8" s="2" t="s">
        <v>1573</v>
      </c>
      <c r="E8" s="2" t="s">
        <v>1587</v>
      </c>
      <c r="F8" s="2" t="s">
        <v>1269</v>
      </c>
      <c r="G8" s="2" t="s">
        <v>1588</v>
      </c>
      <c r="H8" s="2" t="s">
        <v>1589</v>
      </c>
      <c r="I8" s="2" t="s">
        <v>1577</v>
      </c>
    </row>
    <row r="9" spans="1:9" ht="77.25">
      <c r="A9" s="2">
        <v>5</v>
      </c>
      <c r="B9" s="2" t="s">
        <v>116</v>
      </c>
      <c r="C9" s="2" t="s">
        <v>1590</v>
      </c>
      <c r="D9" s="2" t="s">
        <v>1591</v>
      </c>
      <c r="E9" s="2" t="s">
        <v>1592</v>
      </c>
      <c r="F9" s="2" t="s">
        <v>1277</v>
      </c>
      <c r="G9" s="2" t="s">
        <v>1593</v>
      </c>
      <c r="H9" s="2">
        <v>0.81079999999999997</v>
      </c>
      <c r="I9" s="2" t="s">
        <v>1594</v>
      </c>
    </row>
    <row r="10" spans="1:9" ht="110.25">
      <c r="A10" s="2">
        <v>6</v>
      </c>
      <c r="B10" s="2" t="s">
        <v>116</v>
      </c>
      <c r="C10" s="2" t="s">
        <v>1595</v>
      </c>
      <c r="D10" s="2" t="s">
        <v>1591</v>
      </c>
      <c r="E10" s="2" t="s">
        <v>1596</v>
      </c>
      <c r="F10" s="2" t="s">
        <v>1277</v>
      </c>
      <c r="G10" s="2" t="s">
        <v>1597</v>
      </c>
      <c r="H10" s="2" t="s">
        <v>1598</v>
      </c>
      <c r="I10" s="2" t="s">
        <v>1594</v>
      </c>
    </row>
    <row r="11" spans="1:9" ht="77.25">
      <c r="A11" s="2">
        <v>7</v>
      </c>
      <c r="B11" s="2" t="s">
        <v>116</v>
      </c>
      <c r="C11" s="2" t="s">
        <v>1599</v>
      </c>
      <c r="D11" s="2" t="s">
        <v>1591</v>
      </c>
      <c r="E11" s="2" t="s">
        <v>1600</v>
      </c>
      <c r="F11" s="2" t="s">
        <v>1277</v>
      </c>
      <c r="G11" s="2" t="s">
        <v>1601</v>
      </c>
      <c r="H11" s="2">
        <v>0.82689999999999997</v>
      </c>
      <c r="I11" s="2" t="s">
        <v>1594</v>
      </c>
    </row>
    <row r="12" spans="1:9" ht="77.25">
      <c r="A12" s="2">
        <v>9</v>
      </c>
      <c r="B12" s="2" t="s">
        <v>1286</v>
      </c>
      <c r="C12" s="2" t="s">
        <v>1602</v>
      </c>
      <c r="D12" s="2" t="s">
        <v>1603</v>
      </c>
      <c r="E12" s="2" t="s">
        <v>1604</v>
      </c>
      <c r="F12" s="2" t="s">
        <v>1285</v>
      </c>
      <c r="G12" s="2" t="s">
        <v>1605</v>
      </c>
      <c r="H12" s="2" t="s">
        <v>1606</v>
      </c>
      <c r="I12" s="2" t="s">
        <v>1594</v>
      </c>
    </row>
    <row r="13" spans="1:9" ht="110.25">
      <c r="A13" s="2">
        <v>10</v>
      </c>
      <c r="B13" s="2" t="s">
        <v>1286</v>
      </c>
      <c r="C13" s="2" t="s">
        <v>1607</v>
      </c>
      <c r="D13" s="2" t="s">
        <v>1603</v>
      </c>
      <c r="E13" s="2" t="s">
        <v>1608</v>
      </c>
      <c r="F13" s="2" t="s">
        <v>1285</v>
      </c>
      <c r="G13" s="2" t="s">
        <v>1609</v>
      </c>
      <c r="H13" s="2" t="s">
        <v>1610</v>
      </c>
      <c r="I13" s="2" t="s">
        <v>1594</v>
      </c>
    </row>
    <row r="14" spans="1:9" ht="77.25">
      <c r="A14" s="2">
        <v>11</v>
      </c>
      <c r="B14" s="2" t="s">
        <v>1286</v>
      </c>
      <c r="C14" s="2" t="s">
        <v>1611</v>
      </c>
      <c r="D14" s="2" t="s">
        <v>1603</v>
      </c>
      <c r="E14" s="2" t="s">
        <v>1612</v>
      </c>
      <c r="F14" s="2" t="s">
        <v>1285</v>
      </c>
      <c r="G14" s="2" t="s">
        <v>1613</v>
      </c>
      <c r="H14" s="2" t="s">
        <v>1614</v>
      </c>
      <c r="I14" s="2" t="s">
        <v>1594</v>
      </c>
    </row>
    <row r="15" spans="1:9" ht="110.25">
      <c r="A15" s="2">
        <v>12</v>
      </c>
      <c r="B15" s="2" t="s">
        <v>1286</v>
      </c>
      <c r="C15" s="2" t="s">
        <v>1615</v>
      </c>
      <c r="D15" s="2" t="s">
        <v>1603</v>
      </c>
      <c r="E15" s="2" t="s">
        <v>1616</v>
      </c>
      <c r="F15" s="2" t="s">
        <v>1285</v>
      </c>
      <c r="G15" s="2" t="s">
        <v>1617</v>
      </c>
      <c r="H15" s="2" t="s">
        <v>1618</v>
      </c>
      <c r="I15" s="2" t="s">
        <v>1594</v>
      </c>
    </row>
    <row r="16" spans="1:9" ht="77.25">
      <c r="A16" s="2">
        <v>13</v>
      </c>
      <c r="B16" s="2" t="s">
        <v>1286</v>
      </c>
      <c r="C16" s="2" t="s">
        <v>1619</v>
      </c>
      <c r="D16" s="2" t="s">
        <v>1603</v>
      </c>
      <c r="E16" s="2" t="s">
        <v>1620</v>
      </c>
      <c r="F16" s="2" t="s">
        <v>1295</v>
      </c>
      <c r="G16" s="2" t="s">
        <v>1621</v>
      </c>
      <c r="H16" s="2" t="s">
        <v>1622</v>
      </c>
      <c r="I16" s="2" t="s">
        <v>1594</v>
      </c>
    </row>
    <row r="17" spans="1:9" ht="110.25">
      <c r="A17" s="2">
        <v>14</v>
      </c>
      <c r="B17" s="2" t="s">
        <v>1286</v>
      </c>
      <c r="C17" s="2" t="s">
        <v>1623</v>
      </c>
      <c r="D17" s="2" t="s">
        <v>1603</v>
      </c>
      <c r="E17" s="2" t="s">
        <v>1624</v>
      </c>
      <c r="F17" s="2" t="s">
        <v>1295</v>
      </c>
      <c r="G17" s="2" t="s">
        <v>1625</v>
      </c>
      <c r="H17" s="2" t="s">
        <v>1626</v>
      </c>
      <c r="I17" s="2" t="s">
        <v>1594</v>
      </c>
    </row>
    <row r="18" spans="1:9" ht="77.25">
      <c r="A18" s="2">
        <v>15</v>
      </c>
      <c r="B18" s="2" t="s">
        <v>1286</v>
      </c>
      <c r="C18" s="2" t="s">
        <v>1627</v>
      </c>
      <c r="D18" s="2" t="s">
        <v>1603</v>
      </c>
      <c r="E18" s="2" t="s">
        <v>1628</v>
      </c>
      <c r="F18" s="2" t="s">
        <v>1295</v>
      </c>
      <c r="G18" s="2" t="s">
        <v>1629</v>
      </c>
      <c r="H18" s="2" t="s">
        <v>1630</v>
      </c>
      <c r="I18" s="2" t="s">
        <v>1594</v>
      </c>
    </row>
    <row r="19" spans="1:9" ht="110.25">
      <c r="A19" s="2">
        <v>16</v>
      </c>
      <c r="B19" s="2" t="s">
        <v>1286</v>
      </c>
      <c r="C19" s="2" t="s">
        <v>1631</v>
      </c>
      <c r="D19" s="2" t="s">
        <v>1603</v>
      </c>
      <c r="E19" s="2" t="s">
        <v>1632</v>
      </c>
      <c r="F19" s="2" t="s">
        <v>1295</v>
      </c>
      <c r="G19" s="2" t="s">
        <v>1633</v>
      </c>
      <c r="H19" s="2" t="s">
        <v>1634</v>
      </c>
      <c r="I19" s="2" t="s">
        <v>1594</v>
      </c>
    </row>
    <row r="20" spans="1:9" ht="167.25" customHeight="1">
      <c r="A20" s="2">
        <v>17</v>
      </c>
      <c r="B20" s="2" t="s">
        <v>122</v>
      </c>
      <c r="C20" s="2" t="s">
        <v>1635</v>
      </c>
      <c r="D20" s="2" t="s">
        <v>1573</v>
      </c>
      <c r="E20" s="2" t="s">
        <v>1636</v>
      </c>
      <c r="F20" s="2" t="s">
        <v>1303</v>
      </c>
      <c r="G20" s="2" t="s">
        <v>1637</v>
      </c>
      <c r="H20" s="2">
        <v>0.39350000000000002</v>
      </c>
      <c r="I20" s="2" t="s">
        <v>1577</v>
      </c>
    </row>
    <row r="21" spans="1:9" ht="177">
      <c r="A21" s="2">
        <v>18</v>
      </c>
      <c r="B21" s="2" t="s">
        <v>122</v>
      </c>
      <c r="C21" s="2" t="s">
        <v>1638</v>
      </c>
      <c r="D21" s="2" t="s">
        <v>1573</v>
      </c>
      <c r="E21" s="2" t="s">
        <v>1639</v>
      </c>
      <c r="F21" s="2" t="s">
        <v>1303</v>
      </c>
      <c r="G21" s="2" t="s">
        <v>1640</v>
      </c>
      <c r="H21" s="2" t="s">
        <v>1641</v>
      </c>
      <c r="I21" s="2" t="s">
        <v>1577</v>
      </c>
    </row>
    <row r="22" spans="1:9" ht="87.75">
      <c r="A22" s="2">
        <v>19</v>
      </c>
      <c r="B22" s="2" t="s">
        <v>122</v>
      </c>
      <c r="C22" s="2" t="s">
        <v>1642</v>
      </c>
      <c r="D22" s="2" t="s">
        <v>1573</v>
      </c>
      <c r="E22" s="2" t="s">
        <v>1643</v>
      </c>
      <c r="F22" s="2" t="s">
        <v>1303</v>
      </c>
      <c r="G22" s="2" t="s">
        <v>1644</v>
      </c>
      <c r="H22" s="2">
        <v>0.39529999999999998</v>
      </c>
      <c r="I22" s="2" t="s">
        <v>1577</v>
      </c>
    </row>
    <row r="23" spans="1:9" ht="121.5">
      <c r="A23" s="2">
        <v>20</v>
      </c>
      <c r="B23" s="2" t="s">
        <v>122</v>
      </c>
      <c r="C23" s="2" t="s">
        <v>1645</v>
      </c>
      <c r="D23" s="2" t="s">
        <v>1573</v>
      </c>
      <c r="E23" s="2" t="s">
        <v>1646</v>
      </c>
      <c r="F23" s="2" t="s">
        <v>1303</v>
      </c>
      <c r="G23" s="2" t="s">
        <v>1647</v>
      </c>
      <c r="H23" s="2" t="s">
        <v>1648</v>
      </c>
      <c r="I23" s="2" t="s">
        <v>1577</v>
      </c>
    </row>
    <row r="24" spans="1:9" ht="99">
      <c r="A24" s="2">
        <v>21</v>
      </c>
      <c r="B24" s="2" t="s">
        <v>122</v>
      </c>
      <c r="C24" s="2" t="s">
        <v>1649</v>
      </c>
      <c r="D24" s="2" t="s">
        <v>1573</v>
      </c>
      <c r="E24" s="2" t="s">
        <v>1650</v>
      </c>
      <c r="F24" s="2" t="s">
        <v>1311</v>
      </c>
      <c r="G24" s="2" t="s">
        <v>1651</v>
      </c>
      <c r="H24" s="2" t="s">
        <v>1652</v>
      </c>
      <c r="I24" s="2" t="s">
        <v>1577</v>
      </c>
    </row>
    <row r="25" spans="1:9" ht="177">
      <c r="A25" s="2">
        <v>22</v>
      </c>
      <c r="B25" s="2" t="s">
        <v>122</v>
      </c>
      <c r="C25" s="2" t="s">
        <v>1653</v>
      </c>
      <c r="D25" s="2" t="s">
        <v>1573</v>
      </c>
      <c r="E25" s="2" t="s">
        <v>1654</v>
      </c>
      <c r="F25" s="2" t="s">
        <v>1311</v>
      </c>
      <c r="G25" s="2" t="s">
        <v>1655</v>
      </c>
      <c r="H25" s="2" t="s">
        <v>1656</v>
      </c>
      <c r="I25" s="2" t="s">
        <v>1577</v>
      </c>
    </row>
    <row r="26" spans="1:9" ht="99">
      <c r="A26" s="2">
        <v>23</v>
      </c>
      <c r="B26" s="2" t="s">
        <v>122</v>
      </c>
      <c r="C26" s="2" t="s">
        <v>1657</v>
      </c>
      <c r="D26" s="2" t="s">
        <v>1573</v>
      </c>
      <c r="E26" s="2" t="s">
        <v>1658</v>
      </c>
      <c r="F26" s="2" t="s">
        <v>1311</v>
      </c>
      <c r="G26" s="2" t="s">
        <v>1659</v>
      </c>
      <c r="H26" s="2" t="s">
        <v>1660</v>
      </c>
      <c r="I26" s="2" t="s">
        <v>1577</v>
      </c>
    </row>
    <row r="27" spans="1:9" ht="132.75">
      <c r="A27" s="2">
        <v>24</v>
      </c>
      <c r="B27" s="2" t="s">
        <v>122</v>
      </c>
      <c r="C27" s="2" t="s">
        <v>1661</v>
      </c>
      <c r="D27" s="2" t="s">
        <v>1573</v>
      </c>
      <c r="E27" s="2" t="s">
        <v>1662</v>
      </c>
      <c r="F27" s="2" t="s">
        <v>1311</v>
      </c>
      <c r="G27" s="2" t="s">
        <v>1663</v>
      </c>
      <c r="H27" s="2" t="s">
        <v>1664</v>
      </c>
      <c r="I27" s="2" t="s">
        <v>1577</v>
      </c>
    </row>
    <row r="28" spans="1:9" ht="87.75">
      <c r="A28" s="2">
        <v>25</v>
      </c>
      <c r="B28" s="2" t="s">
        <v>122</v>
      </c>
      <c r="C28" s="2" t="s">
        <v>1665</v>
      </c>
      <c r="D28" s="2" t="s">
        <v>1573</v>
      </c>
      <c r="E28" s="2" t="s">
        <v>1666</v>
      </c>
      <c r="F28" s="2" t="s">
        <v>1319</v>
      </c>
      <c r="G28" s="2" t="s">
        <v>1667</v>
      </c>
      <c r="H28" s="2">
        <v>0.41410000000000002</v>
      </c>
      <c r="I28" s="2" t="s">
        <v>1577</v>
      </c>
    </row>
    <row r="29" spans="1:9" ht="121.5">
      <c r="A29" s="2">
        <v>26</v>
      </c>
      <c r="B29" s="2" t="s">
        <v>122</v>
      </c>
      <c r="C29" s="2" t="s">
        <v>1668</v>
      </c>
      <c r="D29" s="2" t="s">
        <v>1573</v>
      </c>
      <c r="E29" s="2" t="s">
        <v>1669</v>
      </c>
      <c r="F29" s="2" t="s">
        <v>1319</v>
      </c>
      <c r="G29" s="2" t="s">
        <v>1670</v>
      </c>
      <c r="H29" s="2" t="s">
        <v>1671</v>
      </c>
      <c r="I29" s="2" t="s">
        <v>1577</v>
      </c>
    </row>
    <row r="30" spans="1:9" ht="87.75">
      <c r="A30" s="2">
        <v>27</v>
      </c>
      <c r="B30" s="2" t="s">
        <v>122</v>
      </c>
      <c r="C30" s="2" t="s">
        <v>1672</v>
      </c>
      <c r="D30" s="2" t="s">
        <v>1573</v>
      </c>
      <c r="E30" s="2" t="s">
        <v>1673</v>
      </c>
      <c r="F30" s="2" t="s">
        <v>1319</v>
      </c>
      <c r="G30" s="2" t="s">
        <v>1674</v>
      </c>
      <c r="H30" s="2">
        <v>0.41310000000000002</v>
      </c>
      <c r="I30" s="2" t="s">
        <v>1577</v>
      </c>
    </row>
    <row r="31" spans="1:9" ht="121.5">
      <c r="A31" s="2">
        <v>28</v>
      </c>
      <c r="B31" s="2" t="s">
        <v>122</v>
      </c>
      <c r="C31" s="2" t="s">
        <v>1675</v>
      </c>
      <c r="D31" s="2" t="s">
        <v>1573</v>
      </c>
      <c r="E31" s="2" t="s">
        <v>1676</v>
      </c>
      <c r="F31" s="2" t="s">
        <v>1319</v>
      </c>
      <c r="G31" s="2" t="s">
        <v>1677</v>
      </c>
      <c r="H31" s="2" t="s">
        <v>1678</v>
      </c>
      <c r="I31" s="2" t="s">
        <v>1577</v>
      </c>
    </row>
    <row r="32" spans="1:9" ht="99">
      <c r="A32" s="2">
        <v>29</v>
      </c>
      <c r="B32" s="2" t="s">
        <v>122</v>
      </c>
      <c r="C32" s="2" t="s">
        <v>1679</v>
      </c>
      <c r="D32" s="2" t="s">
        <v>1573</v>
      </c>
      <c r="E32" s="2" t="s">
        <v>1680</v>
      </c>
      <c r="F32" s="2" t="s">
        <v>1327</v>
      </c>
      <c r="G32" s="2" t="s">
        <v>1681</v>
      </c>
      <c r="H32" s="2" t="s">
        <v>1682</v>
      </c>
      <c r="I32" s="2" t="s">
        <v>1577</v>
      </c>
    </row>
    <row r="33" spans="1:9" ht="177">
      <c r="A33" s="2">
        <v>30</v>
      </c>
      <c r="B33" s="2" t="s">
        <v>122</v>
      </c>
      <c r="C33" s="2" t="s">
        <v>1683</v>
      </c>
      <c r="D33" s="2" t="s">
        <v>1573</v>
      </c>
      <c r="E33" s="2" t="s">
        <v>1684</v>
      </c>
      <c r="F33" s="2" t="s">
        <v>1327</v>
      </c>
      <c r="G33" s="2" t="s">
        <v>1685</v>
      </c>
      <c r="H33" s="2" t="s">
        <v>1686</v>
      </c>
      <c r="I33" s="2" t="s">
        <v>1577</v>
      </c>
    </row>
    <row r="34" spans="1:9" ht="99">
      <c r="A34" s="2">
        <v>31</v>
      </c>
      <c r="B34" s="2" t="s">
        <v>122</v>
      </c>
      <c r="C34" s="2" t="s">
        <v>1687</v>
      </c>
      <c r="D34" s="2" t="s">
        <v>1573</v>
      </c>
      <c r="E34" s="2" t="s">
        <v>1688</v>
      </c>
      <c r="F34" s="2" t="s">
        <v>1327</v>
      </c>
      <c r="G34" s="2" t="s">
        <v>1689</v>
      </c>
      <c r="H34" s="2" t="s">
        <v>1690</v>
      </c>
      <c r="I34" s="2" t="s">
        <v>1577</v>
      </c>
    </row>
    <row r="35" spans="1:9" ht="132.75">
      <c r="A35" s="2">
        <v>32</v>
      </c>
      <c r="B35" s="2" t="s">
        <v>122</v>
      </c>
      <c r="C35" s="2" t="s">
        <v>1691</v>
      </c>
      <c r="D35" s="2" t="s">
        <v>1573</v>
      </c>
      <c r="E35" s="2" t="s">
        <v>1692</v>
      </c>
      <c r="F35" s="2" t="s">
        <v>1327</v>
      </c>
      <c r="G35" s="2" t="s">
        <v>1693</v>
      </c>
      <c r="H35" s="2" t="s">
        <v>1694</v>
      </c>
      <c r="I35" s="2" t="s">
        <v>1577</v>
      </c>
    </row>
    <row r="36" spans="1:9" ht="108.75" customHeight="1">
      <c r="A36" s="2">
        <v>33</v>
      </c>
      <c r="B36" s="2" t="s">
        <v>1286</v>
      </c>
      <c r="C36" s="2" t="s">
        <v>1695</v>
      </c>
      <c r="D36" s="2" t="s">
        <v>1603</v>
      </c>
      <c r="E36" s="2" t="s">
        <v>1696</v>
      </c>
      <c r="F36" s="2" t="s">
        <v>1335</v>
      </c>
      <c r="G36" s="2" t="s">
        <v>1697</v>
      </c>
      <c r="H36" s="2" t="s">
        <v>1698</v>
      </c>
      <c r="I36" s="2"/>
    </row>
    <row r="37" spans="1:9" ht="99">
      <c r="A37" s="2">
        <v>34</v>
      </c>
      <c r="B37" s="2" t="s">
        <v>1286</v>
      </c>
      <c r="C37" s="2" t="s">
        <v>1699</v>
      </c>
      <c r="D37" s="2" t="s">
        <v>1603</v>
      </c>
      <c r="E37" s="2" t="s">
        <v>1696</v>
      </c>
      <c r="F37" s="2" t="s">
        <v>1335</v>
      </c>
      <c r="G37" s="2" t="s">
        <v>1700</v>
      </c>
      <c r="H37" s="2" t="s">
        <v>1698</v>
      </c>
      <c r="I37" s="2"/>
    </row>
    <row r="38" spans="1:9" ht="99">
      <c r="A38" s="2">
        <v>37</v>
      </c>
      <c r="B38" s="2" t="s">
        <v>1286</v>
      </c>
      <c r="C38" s="2" t="s">
        <v>1701</v>
      </c>
      <c r="D38" s="2" t="s">
        <v>1603</v>
      </c>
      <c r="E38" s="2" t="s">
        <v>1702</v>
      </c>
      <c r="F38" s="2" t="s">
        <v>1343</v>
      </c>
      <c r="G38" s="2" t="s">
        <v>1703</v>
      </c>
      <c r="H38" s="2" t="s">
        <v>1704</v>
      </c>
      <c r="I38" s="2" t="s">
        <v>1705</v>
      </c>
    </row>
    <row r="39" spans="1:9" ht="110.25">
      <c r="A39" s="2">
        <v>38</v>
      </c>
      <c r="B39" s="2" t="s">
        <v>1286</v>
      </c>
      <c r="C39" s="2" t="s">
        <v>1706</v>
      </c>
      <c r="D39" s="2" t="s">
        <v>1603</v>
      </c>
      <c r="E39" s="2" t="s">
        <v>1702</v>
      </c>
      <c r="F39" s="2" t="s">
        <v>1343</v>
      </c>
      <c r="G39" s="2" t="s">
        <v>1707</v>
      </c>
      <c r="H39" s="2" t="s">
        <v>1708</v>
      </c>
      <c r="I39" s="2" t="s">
        <v>1705</v>
      </c>
    </row>
    <row r="40" spans="1:9" ht="99">
      <c r="A40" s="2">
        <v>39</v>
      </c>
      <c r="B40" s="2" t="s">
        <v>1286</v>
      </c>
      <c r="C40" s="2" t="s">
        <v>1709</v>
      </c>
      <c r="D40" s="2" t="s">
        <v>1603</v>
      </c>
      <c r="E40" s="2" t="s">
        <v>1702</v>
      </c>
      <c r="F40" s="2" t="s">
        <v>1343</v>
      </c>
      <c r="G40" s="2" t="s">
        <v>1710</v>
      </c>
      <c r="H40" s="2" t="s">
        <v>1711</v>
      </c>
      <c r="I40" s="2" t="s">
        <v>1705</v>
      </c>
    </row>
    <row r="41" spans="1:9" ht="121.5">
      <c r="A41" s="2">
        <v>40</v>
      </c>
      <c r="B41" s="2" t="s">
        <v>1286</v>
      </c>
      <c r="C41" s="2" t="s">
        <v>1712</v>
      </c>
      <c r="D41" s="2" t="s">
        <v>1603</v>
      </c>
      <c r="E41" s="2" t="s">
        <v>1713</v>
      </c>
      <c r="F41" s="2" t="s">
        <v>1351</v>
      </c>
      <c r="G41" s="2" t="s">
        <v>1714</v>
      </c>
      <c r="H41" s="2">
        <v>0</v>
      </c>
      <c r="I41" s="2" t="s">
        <v>1715</v>
      </c>
    </row>
    <row r="42" spans="1:9" ht="121.5">
      <c r="A42" s="2">
        <v>41</v>
      </c>
      <c r="B42" s="2" t="s">
        <v>1286</v>
      </c>
      <c r="C42" s="2" t="s">
        <v>1716</v>
      </c>
      <c r="D42" s="2" t="s">
        <v>1603</v>
      </c>
      <c r="E42" s="2" t="s">
        <v>1713</v>
      </c>
      <c r="F42" s="2" t="s">
        <v>1351</v>
      </c>
      <c r="G42" s="2" t="s">
        <v>1717</v>
      </c>
      <c r="H42" s="2">
        <v>0</v>
      </c>
      <c r="I42" s="2" t="s">
        <v>1715</v>
      </c>
    </row>
    <row r="43" spans="1:9" ht="165.75">
      <c r="A43" s="2">
        <v>44</v>
      </c>
      <c r="B43" s="2" t="s">
        <v>122</v>
      </c>
      <c r="C43" s="2" t="s">
        <v>1718</v>
      </c>
      <c r="D43" s="2" t="s">
        <v>1719</v>
      </c>
      <c r="E43" s="2" t="s">
        <v>1720</v>
      </c>
      <c r="F43" s="2" t="s">
        <v>1359</v>
      </c>
      <c r="G43" s="2" t="s">
        <v>1721</v>
      </c>
      <c r="H43" s="2" t="s">
        <v>1722</v>
      </c>
      <c r="I43" s="2" t="s">
        <v>1577</v>
      </c>
    </row>
    <row r="44" spans="1:9" ht="22.9" customHeight="1">
      <c r="A44" s="2">
        <v>45</v>
      </c>
      <c r="B44" s="2" t="s">
        <v>122</v>
      </c>
      <c r="C44" s="2" t="s">
        <v>1723</v>
      </c>
      <c r="D44" s="2" t="s">
        <v>1719</v>
      </c>
      <c r="E44" s="2" t="s">
        <v>1724</v>
      </c>
      <c r="F44" s="2" t="s">
        <v>1359</v>
      </c>
      <c r="G44" s="2" t="s">
        <v>1725</v>
      </c>
      <c r="H44" s="2" t="s">
        <v>1726</v>
      </c>
      <c r="I44" s="2" t="s">
        <v>1577</v>
      </c>
    </row>
    <row r="45" spans="1:9" ht="165.75">
      <c r="A45" s="2">
        <v>46</v>
      </c>
      <c r="B45" s="2" t="s">
        <v>122</v>
      </c>
      <c r="C45" s="2" t="s">
        <v>1727</v>
      </c>
      <c r="D45" s="2" t="s">
        <v>1719</v>
      </c>
      <c r="E45" s="2" t="s">
        <v>1728</v>
      </c>
      <c r="F45" s="2" t="s">
        <v>1359</v>
      </c>
      <c r="G45" s="2" t="s">
        <v>1729</v>
      </c>
      <c r="H45" s="2" t="s">
        <v>1730</v>
      </c>
      <c r="I45" s="2" t="s">
        <v>1577</v>
      </c>
    </row>
    <row r="46" spans="1:9" ht="165.75">
      <c r="A46" s="2">
        <v>47</v>
      </c>
      <c r="B46" s="2" t="s">
        <v>122</v>
      </c>
      <c r="C46" s="2" t="s">
        <v>1731</v>
      </c>
      <c r="D46" s="2" t="s">
        <v>1719</v>
      </c>
      <c r="E46" s="2" t="s">
        <v>1732</v>
      </c>
      <c r="F46" s="2" t="s">
        <v>1359</v>
      </c>
      <c r="G46" s="2" t="s">
        <v>1733</v>
      </c>
      <c r="H46" s="2" t="s">
        <v>1734</v>
      </c>
      <c r="I46" s="2" t="s">
        <v>1577</v>
      </c>
    </row>
    <row r="47" spans="1:9" ht="209.25">
      <c r="A47" s="2">
        <v>48</v>
      </c>
      <c r="B47" s="2" t="s">
        <v>122</v>
      </c>
      <c r="C47" s="2" t="s">
        <v>1735</v>
      </c>
      <c r="D47" s="2" t="s">
        <v>1736</v>
      </c>
      <c r="E47" s="2" t="s">
        <v>1737</v>
      </c>
      <c r="F47" s="2" t="s">
        <v>1367</v>
      </c>
      <c r="G47" s="2" t="s">
        <v>1738</v>
      </c>
      <c r="H47" s="2" t="s">
        <v>1739</v>
      </c>
      <c r="I47" s="2" t="s">
        <v>1577</v>
      </c>
    </row>
    <row r="48" spans="1:9" ht="209.25">
      <c r="A48" s="2">
        <v>49</v>
      </c>
      <c r="B48" s="2" t="s">
        <v>122</v>
      </c>
      <c r="C48" s="2" t="s">
        <v>1740</v>
      </c>
      <c r="D48" s="2" t="s">
        <v>1736</v>
      </c>
      <c r="E48" s="2" t="s">
        <v>1741</v>
      </c>
      <c r="F48" s="2" t="s">
        <v>1367</v>
      </c>
      <c r="G48" s="2" t="s">
        <v>1742</v>
      </c>
      <c r="H48" s="2" t="s">
        <v>1743</v>
      </c>
      <c r="I48" s="2" t="s">
        <v>1577</v>
      </c>
    </row>
    <row r="49" spans="1:9" ht="209.25">
      <c r="A49" s="2">
        <v>50</v>
      </c>
      <c r="B49" s="2" t="s">
        <v>122</v>
      </c>
      <c r="C49" s="2" t="s">
        <v>1744</v>
      </c>
      <c r="D49" s="2" t="s">
        <v>1736</v>
      </c>
      <c r="E49" s="2" t="s">
        <v>1745</v>
      </c>
      <c r="F49" s="2" t="s">
        <v>1367</v>
      </c>
      <c r="G49" s="2" t="s">
        <v>1746</v>
      </c>
      <c r="H49" s="2" t="s">
        <v>1747</v>
      </c>
      <c r="I49" s="2" t="s">
        <v>1577</v>
      </c>
    </row>
    <row r="50" spans="1:9" ht="209.25">
      <c r="A50" s="2">
        <v>51</v>
      </c>
      <c r="B50" s="2" t="s">
        <v>122</v>
      </c>
      <c r="C50" s="2" t="s">
        <v>1748</v>
      </c>
      <c r="D50" s="2" t="s">
        <v>1736</v>
      </c>
      <c r="E50" s="2" t="s">
        <v>1749</v>
      </c>
      <c r="F50" s="2" t="s">
        <v>1367</v>
      </c>
      <c r="G50" s="2" t="s">
        <v>1750</v>
      </c>
      <c r="H50" s="2" t="s">
        <v>1751</v>
      </c>
      <c r="I50" s="2" t="s">
        <v>1577</v>
      </c>
    </row>
    <row r="51" spans="1:9" ht="99">
      <c r="A51" s="2">
        <v>52</v>
      </c>
      <c r="B51" s="2" t="s">
        <v>122</v>
      </c>
      <c r="C51" s="2" t="s">
        <v>1752</v>
      </c>
      <c r="D51" s="2" t="s">
        <v>1736</v>
      </c>
      <c r="E51" s="2" t="s">
        <v>1753</v>
      </c>
      <c r="F51" s="2" t="s">
        <v>1377</v>
      </c>
      <c r="G51" s="2" t="s">
        <v>1754</v>
      </c>
      <c r="H51" s="2" t="s">
        <v>1755</v>
      </c>
      <c r="I51" s="2" t="s">
        <v>1577</v>
      </c>
    </row>
    <row r="52" spans="1:9" ht="188.25">
      <c r="A52" s="2">
        <v>53</v>
      </c>
      <c r="B52" s="2" t="s">
        <v>122</v>
      </c>
      <c r="C52" s="2" t="s">
        <v>1756</v>
      </c>
      <c r="D52" s="2" t="s">
        <v>1736</v>
      </c>
      <c r="E52" s="2" t="s">
        <v>1757</v>
      </c>
      <c r="F52" s="2" t="s">
        <v>1377</v>
      </c>
      <c r="G52" s="2" t="s">
        <v>1758</v>
      </c>
      <c r="H52" s="2" t="s">
        <v>1759</v>
      </c>
      <c r="I52" s="2" t="s">
        <v>1577</v>
      </c>
    </row>
    <row r="53" spans="1:9" ht="99">
      <c r="A53" s="2">
        <v>54</v>
      </c>
      <c r="B53" s="2" t="s">
        <v>122</v>
      </c>
      <c r="C53" s="2" t="s">
        <v>1760</v>
      </c>
      <c r="D53" s="2" t="s">
        <v>1736</v>
      </c>
      <c r="E53" s="2" t="s">
        <v>1761</v>
      </c>
      <c r="F53" s="2" t="s">
        <v>1377</v>
      </c>
      <c r="G53" s="2" t="s">
        <v>1762</v>
      </c>
      <c r="H53" s="2" t="s">
        <v>1763</v>
      </c>
      <c r="I53" s="2" t="s">
        <v>1577</v>
      </c>
    </row>
    <row r="54" spans="1:9" ht="132.75">
      <c r="A54" s="2">
        <v>55</v>
      </c>
      <c r="B54" s="2" t="s">
        <v>122</v>
      </c>
      <c r="C54" s="2" t="s">
        <v>1764</v>
      </c>
      <c r="D54" s="2" t="s">
        <v>1736</v>
      </c>
      <c r="E54" s="2" t="s">
        <v>1765</v>
      </c>
      <c r="F54" s="2" t="s">
        <v>1377</v>
      </c>
      <c r="G54" s="2" t="s">
        <v>1766</v>
      </c>
      <c r="H54" s="2" t="s">
        <v>1767</v>
      </c>
      <c r="I54" s="2" t="s">
        <v>1577</v>
      </c>
    </row>
    <row r="55" spans="1:9" ht="98.25" customHeight="1">
      <c r="A55" s="2">
        <v>56</v>
      </c>
      <c r="B55" s="2" t="s">
        <v>1286</v>
      </c>
      <c r="C55" s="2" t="s">
        <v>1768</v>
      </c>
      <c r="D55" s="2" t="s">
        <v>1603</v>
      </c>
      <c r="E55" s="2" t="s">
        <v>1769</v>
      </c>
      <c r="F55" s="2" t="s">
        <v>1385</v>
      </c>
      <c r="G55" s="2" t="s">
        <v>1770</v>
      </c>
      <c r="H55" s="2" t="s">
        <v>1704</v>
      </c>
      <c r="I55" s="2" t="s">
        <v>1771</v>
      </c>
    </row>
    <row r="56" spans="1:9" ht="77.25">
      <c r="A56" s="2">
        <v>57</v>
      </c>
      <c r="B56" s="2" t="s">
        <v>1286</v>
      </c>
      <c r="C56" s="2" t="s">
        <v>1772</v>
      </c>
      <c r="D56" s="2" t="s">
        <v>1603</v>
      </c>
      <c r="E56" s="2" t="s">
        <v>1769</v>
      </c>
      <c r="F56" s="2" t="s">
        <v>1385</v>
      </c>
      <c r="G56" s="2" t="s">
        <v>1773</v>
      </c>
      <c r="H56" s="2" t="s">
        <v>1708</v>
      </c>
      <c r="I56" s="2" t="s">
        <v>1771</v>
      </c>
    </row>
    <row r="57" spans="1:9" ht="87.75">
      <c r="A57" s="2">
        <v>58</v>
      </c>
      <c r="B57" s="2" t="s">
        <v>1286</v>
      </c>
      <c r="C57" s="2" t="s">
        <v>1774</v>
      </c>
      <c r="D57" s="2" t="s">
        <v>1603</v>
      </c>
      <c r="E57" s="2" t="s">
        <v>1769</v>
      </c>
      <c r="F57" s="2" t="s">
        <v>1385</v>
      </c>
      <c r="G57" s="2" t="s">
        <v>1775</v>
      </c>
      <c r="H57" s="2" t="s">
        <v>1776</v>
      </c>
      <c r="I57" s="2" t="s">
        <v>1771</v>
      </c>
    </row>
    <row r="58" spans="1:9" ht="87.75">
      <c r="A58" s="2">
        <v>60</v>
      </c>
      <c r="B58" s="2" t="s">
        <v>1286</v>
      </c>
      <c r="C58" s="2" t="s">
        <v>1777</v>
      </c>
      <c r="D58" s="2" t="s">
        <v>1778</v>
      </c>
      <c r="E58" s="2" t="s">
        <v>1779</v>
      </c>
      <c r="F58" s="2" t="s">
        <v>740</v>
      </c>
      <c r="G58" s="2" t="s">
        <v>1780</v>
      </c>
      <c r="H58" s="2" t="s">
        <v>1781</v>
      </c>
      <c r="I58" s="2" t="s">
        <v>1594</v>
      </c>
    </row>
    <row r="59" spans="1:9" ht="87.75">
      <c r="A59" s="2">
        <v>61</v>
      </c>
      <c r="B59" s="2" t="s">
        <v>1286</v>
      </c>
      <c r="C59" s="2" t="s">
        <v>1782</v>
      </c>
      <c r="D59" s="2" t="s">
        <v>1778</v>
      </c>
      <c r="E59" s="2" t="s">
        <v>1783</v>
      </c>
      <c r="F59" s="2" t="s">
        <v>740</v>
      </c>
      <c r="G59" s="2" t="s">
        <v>1784</v>
      </c>
      <c r="H59" s="2" t="s">
        <v>1785</v>
      </c>
      <c r="I59" s="2" t="s">
        <v>1594</v>
      </c>
    </row>
    <row r="60" spans="1:9" ht="87.75">
      <c r="A60" s="2">
        <v>62</v>
      </c>
      <c r="B60" s="2" t="s">
        <v>1286</v>
      </c>
      <c r="C60" s="2" t="s">
        <v>1786</v>
      </c>
      <c r="D60" s="2" t="s">
        <v>1778</v>
      </c>
      <c r="E60" s="2" t="s">
        <v>1787</v>
      </c>
      <c r="F60" s="2" t="s">
        <v>740</v>
      </c>
      <c r="G60" s="2" t="s">
        <v>1788</v>
      </c>
      <c r="H60" s="2" t="s">
        <v>1789</v>
      </c>
      <c r="I60" s="2" t="s">
        <v>1594</v>
      </c>
    </row>
    <row r="61" spans="1:9" ht="87.75">
      <c r="A61" s="2">
        <v>63</v>
      </c>
      <c r="B61" s="2" t="s">
        <v>1286</v>
      </c>
      <c r="C61" s="2" t="s">
        <v>1790</v>
      </c>
      <c r="D61" s="2" t="s">
        <v>1778</v>
      </c>
      <c r="E61" s="2" t="s">
        <v>1791</v>
      </c>
      <c r="F61" s="2" t="s">
        <v>740</v>
      </c>
      <c r="G61" s="2" t="s">
        <v>1792</v>
      </c>
      <c r="H61" s="2" t="s">
        <v>1793</v>
      </c>
      <c r="I61" s="2" t="s">
        <v>1594</v>
      </c>
    </row>
    <row r="62" spans="1:9" ht="87.75">
      <c r="A62" s="2">
        <v>64</v>
      </c>
      <c r="B62" s="2" t="s">
        <v>1286</v>
      </c>
      <c r="C62" s="2" t="s">
        <v>1794</v>
      </c>
      <c r="D62" s="2" t="s">
        <v>1778</v>
      </c>
      <c r="E62" s="2" t="s">
        <v>1795</v>
      </c>
      <c r="F62" s="2" t="s">
        <v>748</v>
      </c>
      <c r="G62" s="2" t="s">
        <v>1796</v>
      </c>
      <c r="H62" s="2" t="s">
        <v>1797</v>
      </c>
      <c r="I62" s="2" t="s">
        <v>1594</v>
      </c>
    </row>
    <row r="63" spans="1:9" ht="87.75">
      <c r="A63" s="2">
        <v>65</v>
      </c>
      <c r="B63" s="2" t="s">
        <v>1286</v>
      </c>
      <c r="C63" s="2" t="s">
        <v>1798</v>
      </c>
      <c r="D63" s="2" t="s">
        <v>1778</v>
      </c>
      <c r="E63" s="2" t="s">
        <v>1799</v>
      </c>
      <c r="F63" s="2" t="s">
        <v>748</v>
      </c>
      <c r="G63" s="2" t="s">
        <v>1800</v>
      </c>
      <c r="H63" s="2" t="s">
        <v>1801</v>
      </c>
      <c r="I63" s="2" t="s">
        <v>1594</v>
      </c>
    </row>
    <row r="64" spans="1:9" ht="87.75">
      <c r="A64" s="2">
        <v>66</v>
      </c>
      <c r="B64" s="2" t="s">
        <v>1286</v>
      </c>
      <c r="C64" s="2" t="s">
        <v>1802</v>
      </c>
      <c r="D64" s="2" t="s">
        <v>1778</v>
      </c>
      <c r="E64" s="2" t="s">
        <v>1803</v>
      </c>
      <c r="F64" s="2" t="s">
        <v>748</v>
      </c>
      <c r="G64" s="2" t="s">
        <v>1804</v>
      </c>
      <c r="H64" s="2" t="s">
        <v>1805</v>
      </c>
      <c r="I64" s="2" t="s">
        <v>1594</v>
      </c>
    </row>
    <row r="65" spans="1:9" ht="87.75">
      <c r="A65" s="2">
        <v>67</v>
      </c>
      <c r="B65" s="2" t="s">
        <v>1286</v>
      </c>
      <c r="C65" s="2" t="s">
        <v>1806</v>
      </c>
      <c r="D65" s="2" t="s">
        <v>1778</v>
      </c>
      <c r="E65" s="2" t="s">
        <v>1807</v>
      </c>
      <c r="F65" s="2" t="s">
        <v>748</v>
      </c>
      <c r="G65" s="2" t="s">
        <v>1808</v>
      </c>
      <c r="H65" s="2" t="s">
        <v>1809</v>
      </c>
      <c r="I65" s="2" t="s">
        <v>1594</v>
      </c>
    </row>
    <row r="66" spans="1:9" ht="77.25">
      <c r="A66" s="2">
        <v>68</v>
      </c>
      <c r="B66" s="2" t="s">
        <v>1286</v>
      </c>
      <c r="C66" s="2" t="s">
        <v>1810</v>
      </c>
      <c r="D66" s="2" t="s">
        <v>1778</v>
      </c>
      <c r="E66" s="2" t="s">
        <v>1811</v>
      </c>
      <c r="F66" s="2" t="s">
        <v>1812</v>
      </c>
      <c r="G66" s="2" t="s">
        <v>1813</v>
      </c>
      <c r="H66" s="2" t="s">
        <v>1814</v>
      </c>
      <c r="I66" s="2" t="s">
        <v>1594</v>
      </c>
    </row>
    <row r="67" spans="1:9" ht="110.25">
      <c r="A67" s="2">
        <v>69</v>
      </c>
      <c r="B67" s="2" t="s">
        <v>1286</v>
      </c>
      <c r="C67" s="2" t="s">
        <v>1815</v>
      </c>
      <c r="D67" s="2" t="s">
        <v>1778</v>
      </c>
      <c r="E67" s="2" t="s">
        <v>1816</v>
      </c>
      <c r="F67" s="2" t="s">
        <v>1812</v>
      </c>
      <c r="G67" s="2" t="s">
        <v>1817</v>
      </c>
      <c r="H67" s="2" t="s">
        <v>1818</v>
      </c>
      <c r="I67" s="2" t="s">
        <v>1594</v>
      </c>
    </row>
    <row r="68" spans="1:9" ht="77.25">
      <c r="A68" s="2">
        <v>70</v>
      </c>
      <c r="B68" s="2" t="s">
        <v>1286</v>
      </c>
      <c r="C68" s="2" t="s">
        <v>1819</v>
      </c>
      <c r="D68" s="2" t="s">
        <v>1778</v>
      </c>
      <c r="E68" s="2" t="s">
        <v>1820</v>
      </c>
      <c r="F68" s="2" t="s">
        <v>1812</v>
      </c>
      <c r="G68" s="2" t="s">
        <v>1821</v>
      </c>
      <c r="H68" s="2" t="s">
        <v>1822</v>
      </c>
      <c r="I68" s="2" t="s">
        <v>1594</v>
      </c>
    </row>
    <row r="69" spans="1:9" ht="87.75">
      <c r="A69" s="2">
        <v>71</v>
      </c>
      <c r="B69" s="2" t="s">
        <v>1286</v>
      </c>
      <c r="C69" s="2" t="s">
        <v>1823</v>
      </c>
      <c r="D69" s="2" t="s">
        <v>1778</v>
      </c>
      <c r="E69" s="2" t="s">
        <v>1824</v>
      </c>
      <c r="F69" s="2" t="s">
        <v>766</v>
      </c>
      <c r="G69" s="2" t="s">
        <v>1825</v>
      </c>
      <c r="H69" s="2" t="s">
        <v>1826</v>
      </c>
      <c r="I69" s="2" t="s">
        <v>1594</v>
      </c>
    </row>
    <row r="70" spans="1:9" ht="121.5">
      <c r="A70" s="2">
        <v>72</v>
      </c>
      <c r="B70" s="2" t="s">
        <v>1286</v>
      </c>
      <c r="C70" s="2" t="s">
        <v>1827</v>
      </c>
      <c r="D70" s="2" t="s">
        <v>1778</v>
      </c>
      <c r="E70" s="2" t="s">
        <v>1828</v>
      </c>
      <c r="F70" s="2" t="s">
        <v>766</v>
      </c>
      <c r="G70" s="2" t="s">
        <v>1829</v>
      </c>
      <c r="H70" s="2" t="s">
        <v>1830</v>
      </c>
      <c r="I70" s="2" t="s">
        <v>1594</v>
      </c>
    </row>
    <row r="71" spans="1:9" ht="87.75">
      <c r="A71" s="2">
        <v>73</v>
      </c>
      <c r="B71" s="2" t="s">
        <v>1286</v>
      </c>
      <c r="C71" s="2" t="s">
        <v>1831</v>
      </c>
      <c r="D71" s="2" t="s">
        <v>1778</v>
      </c>
      <c r="E71" s="2" t="s">
        <v>1832</v>
      </c>
      <c r="F71" s="2" t="s">
        <v>766</v>
      </c>
      <c r="G71" s="2" t="s">
        <v>1833</v>
      </c>
      <c r="H71" s="2" t="s">
        <v>1834</v>
      </c>
      <c r="I71" s="2" t="s">
        <v>1594</v>
      </c>
    </row>
    <row r="72" spans="1:9" ht="77.25">
      <c r="A72" s="2">
        <v>74</v>
      </c>
      <c r="B72" s="2" t="s">
        <v>1286</v>
      </c>
      <c r="C72" s="2" t="s">
        <v>1835</v>
      </c>
      <c r="D72" s="2" t="s">
        <v>1603</v>
      </c>
      <c r="E72" s="2" t="s">
        <v>1836</v>
      </c>
      <c r="F72" s="2" t="s">
        <v>1391</v>
      </c>
      <c r="G72" s="2" t="s">
        <v>1837</v>
      </c>
      <c r="H72" s="2">
        <v>5</v>
      </c>
      <c r="I72" s="2" t="s">
        <v>1838</v>
      </c>
    </row>
    <row r="73" spans="1:9" ht="66.75">
      <c r="A73" s="2">
        <v>75</v>
      </c>
      <c r="B73" s="2" t="s">
        <v>1286</v>
      </c>
      <c r="C73" s="2" t="s">
        <v>1839</v>
      </c>
      <c r="D73" s="2" t="s">
        <v>1603</v>
      </c>
      <c r="E73" s="2" t="s">
        <v>1836</v>
      </c>
      <c r="F73" s="2" t="s">
        <v>1391</v>
      </c>
      <c r="G73" s="2" t="s">
        <v>1840</v>
      </c>
      <c r="H73" s="2">
        <v>5</v>
      </c>
      <c r="I73" s="2" t="s">
        <v>1838</v>
      </c>
    </row>
    <row r="74" spans="1:9" ht="66.75">
      <c r="A74" s="2">
        <v>76</v>
      </c>
      <c r="B74" s="2" t="s">
        <v>1286</v>
      </c>
      <c r="C74" s="2" t="s">
        <v>1841</v>
      </c>
      <c r="D74" s="2" t="s">
        <v>1603</v>
      </c>
      <c r="E74" s="2" t="s">
        <v>1842</v>
      </c>
      <c r="F74" s="2" t="s">
        <v>1843</v>
      </c>
      <c r="G74" s="2" t="s">
        <v>1844</v>
      </c>
      <c r="H74" s="2" t="s">
        <v>1845</v>
      </c>
      <c r="I74" s="2" t="s">
        <v>1594</v>
      </c>
    </row>
    <row r="75" spans="1:9" ht="99">
      <c r="A75" s="2">
        <v>77</v>
      </c>
      <c r="B75" s="2" t="s">
        <v>1286</v>
      </c>
      <c r="C75" s="2" t="s">
        <v>1846</v>
      </c>
      <c r="D75" s="2" t="s">
        <v>1603</v>
      </c>
      <c r="E75" s="2" t="s">
        <v>1847</v>
      </c>
      <c r="F75" s="2" t="s">
        <v>1843</v>
      </c>
      <c r="G75" s="2" t="s">
        <v>1848</v>
      </c>
      <c r="H75" s="2" t="s">
        <v>1849</v>
      </c>
      <c r="I75" s="2" t="s">
        <v>1594</v>
      </c>
    </row>
    <row r="76" spans="1:9" ht="66.75">
      <c r="A76" s="2">
        <v>78</v>
      </c>
      <c r="B76" s="2" t="s">
        <v>1286</v>
      </c>
      <c r="C76" s="2" t="s">
        <v>1850</v>
      </c>
      <c r="D76" s="2" t="s">
        <v>1603</v>
      </c>
      <c r="E76" s="2" t="s">
        <v>1851</v>
      </c>
      <c r="F76" s="2" t="s">
        <v>1852</v>
      </c>
      <c r="G76" s="2" t="s">
        <v>1853</v>
      </c>
      <c r="H76" s="2" t="s">
        <v>1854</v>
      </c>
      <c r="I76" s="2" t="s">
        <v>1594</v>
      </c>
    </row>
    <row r="77" spans="1:9" ht="264.75">
      <c r="A77" s="2">
        <v>79</v>
      </c>
      <c r="B77" s="2" t="s">
        <v>1286</v>
      </c>
      <c r="C77" s="2" t="s">
        <v>1855</v>
      </c>
      <c r="D77" s="2" t="s">
        <v>1603</v>
      </c>
      <c r="E77" s="2" t="s">
        <v>1856</v>
      </c>
      <c r="F77" s="2" t="s">
        <v>1852</v>
      </c>
      <c r="G77" s="2" t="s">
        <v>1857</v>
      </c>
      <c r="H77" s="2" t="s">
        <v>1858</v>
      </c>
      <c r="I77" s="2" t="s">
        <v>1594</v>
      </c>
    </row>
    <row r="78" spans="1:9" ht="66.75">
      <c r="A78" s="2">
        <v>80</v>
      </c>
      <c r="B78" s="2" t="s">
        <v>1286</v>
      </c>
      <c r="C78" s="2" t="s">
        <v>1859</v>
      </c>
      <c r="D78" s="2" t="s">
        <v>1603</v>
      </c>
      <c r="E78" s="2" t="s">
        <v>1860</v>
      </c>
      <c r="F78" s="2" t="s">
        <v>1404</v>
      </c>
      <c r="G78" s="2" t="s">
        <v>1861</v>
      </c>
      <c r="H78" s="2" t="s">
        <v>1862</v>
      </c>
      <c r="I78" s="2" t="s">
        <v>1594</v>
      </c>
    </row>
    <row r="79" spans="1:9" ht="154.5">
      <c r="A79" s="2">
        <v>81</v>
      </c>
      <c r="B79" s="2" t="s">
        <v>1286</v>
      </c>
      <c r="C79" s="2" t="s">
        <v>1863</v>
      </c>
      <c r="D79" s="2" t="s">
        <v>1603</v>
      </c>
      <c r="E79" s="2" t="s">
        <v>1864</v>
      </c>
      <c r="F79" s="2" t="s">
        <v>1404</v>
      </c>
      <c r="G79" s="2" t="s">
        <v>1865</v>
      </c>
      <c r="H79" s="2" t="s">
        <v>1866</v>
      </c>
      <c r="I79" s="2" t="s">
        <v>1594</v>
      </c>
    </row>
    <row r="80" spans="1:9" ht="66.75">
      <c r="A80" s="2">
        <v>82</v>
      </c>
      <c r="B80" s="2" t="s">
        <v>1286</v>
      </c>
      <c r="C80" s="2" t="s">
        <v>1867</v>
      </c>
      <c r="D80" s="2" t="s">
        <v>1778</v>
      </c>
      <c r="E80" s="2" t="s">
        <v>1868</v>
      </c>
      <c r="F80" s="2" t="s">
        <v>1409</v>
      </c>
      <c r="G80" s="2" t="s">
        <v>1869</v>
      </c>
      <c r="H80" s="2" t="s">
        <v>1870</v>
      </c>
      <c r="I80" s="2" t="s">
        <v>1594</v>
      </c>
    </row>
    <row r="81" spans="1:9" ht="99">
      <c r="A81" s="2">
        <v>83</v>
      </c>
      <c r="B81" s="2" t="s">
        <v>1286</v>
      </c>
      <c r="C81" s="2" t="s">
        <v>1871</v>
      </c>
      <c r="D81" s="2" t="s">
        <v>1778</v>
      </c>
      <c r="E81" s="2" t="s">
        <v>1872</v>
      </c>
      <c r="F81" s="2" t="s">
        <v>1409</v>
      </c>
      <c r="G81" s="2" t="s">
        <v>1873</v>
      </c>
      <c r="H81" s="2" t="s">
        <v>1874</v>
      </c>
      <c r="I81" s="2" t="s">
        <v>1594</v>
      </c>
    </row>
    <row r="82" spans="1:9" ht="66.75">
      <c r="A82" s="2">
        <v>84</v>
      </c>
      <c r="B82" s="2" t="s">
        <v>1286</v>
      </c>
      <c r="C82" s="2" t="s">
        <v>1875</v>
      </c>
      <c r="D82" s="2" t="s">
        <v>1778</v>
      </c>
      <c r="E82" s="2" t="s">
        <v>1876</v>
      </c>
      <c r="F82" s="2" t="s">
        <v>1414</v>
      </c>
      <c r="G82" s="2" t="s">
        <v>1877</v>
      </c>
      <c r="H82" s="2">
        <v>1525</v>
      </c>
      <c r="I82" s="2" t="s">
        <v>1594</v>
      </c>
    </row>
    <row r="83" spans="1:9" ht="99">
      <c r="A83" s="2">
        <v>85</v>
      </c>
      <c r="B83" s="2" t="s">
        <v>1286</v>
      </c>
      <c r="C83" s="2" t="s">
        <v>1878</v>
      </c>
      <c r="D83" s="2" t="s">
        <v>1778</v>
      </c>
      <c r="E83" s="2" t="s">
        <v>1879</v>
      </c>
      <c r="F83" s="2" t="s">
        <v>1414</v>
      </c>
      <c r="G83" s="2" t="s">
        <v>1880</v>
      </c>
      <c r="H83" s="2" t="s">
        <v>1881</v>
      </c>
      <c r="I83" s="2" t="s">
        <v>1594</v>
      </c>
    </row>
    <row r="84" spans="1:9" ht="66.75">
      <c r="A84" s="2">
        <v>86</v>
      </c>
      <c r="B84" s="2" t="s">
        <v>1286</v>
      </c>
      <c r="C84" s="2" t="s">
        <v>1882</v>
      </c>
      <c r="D84" s="2" t="s">
        <v>1778</v>
      </c>
      <c r="E84" s="2" t="s">
        <v>1883</v>
      </c>
      <c r="F84" s="2" t="s">
        <v>733</v>
      </c>
      <c r="G84" s="2" t="s">
        <v>1884</v>
      </c>
      <c r="H84" s="2" t="s">
        <v>1885</v>
      </c>
      <c r="I84" s="2" t="s">
        <v>1594</v>
      </c>
    </row>
    <row r="85" spans="1:9" ht="99">
      <c r="A85" s="2">
        <v>87</v>
      </c>
      <c r="B85" s="2" t="s">
        <v>1286</v>
      </c>
      <c r="C85" s="2" t="s">
        <v>1886</v>
      </c>
      <c r="D85" s="2" t="s">
        <v>1778</v>
      </c>
      <c r="E85" s="2" t="s">
        <v>1887</v>
      </c>
      <c r="F85" s="2" t="s">
        <v>733</v>
      </c>
      <c r="G85" s="2" t="s">
        <v>1888</v>
      </c>
      <c r="H85" s="2" t="s">
        <v>1889</v>
      </c>
      <c r="I85" s="2" t="s">
        <v>1594</v>
      </c>
    </row>
    <row r="86" spans="1:9" ht="87.75">
      <c r="A86" s="2">
        <v>88</v>
      </c>
      <c r="B86" s="2" t="s">
        <v>1286</v>
      </c>
      <c r="C86" s="2" t="s">
        <v>1890</v>
      </c>
      <c r="D86" s="2" t="s">
        <v>1778</v>
      </c>
      <c r="E86" s="2" t="s">
        <v>1891</v>
      </c>
      <c r="F86" s="2" t="s">
        <v>753</v>
      </c>
      <c r="G86" s="2" t="s">
        <v>1892</v>
      </c>
      <c r="H86" s="2" t="s">
        <v>1893</v>
      </c>
      <c r="I86" s="2" t="s">
        <v>1594</v>
      </c>
    </row>
    <row r="87" spans="1:9" ht="87.75">
      <c r="A87" s="2">
        <v>89</v>
      </c>
      <c r="B87" s="2" t="s">
        <v>1286</v>
      </c>
      <c r="C87" s="2" t="s">
        <v>1894</v>
      </c>
      <c r="D87" s="2" t="s">
        <v>1778</v>
      </c>
      <c r="E87" s="2" t="s">
        <v>1895</v>
      </c>
      <c r="F87" s="2" t="s">
        <v>753</v>
      </c>
      <c r="G87" s="2" t="s">
        <v>1896</v>
      </c>
      <c r="H87" s="2" t="s">
        <v>1897</v>
      </c>
      <c r="I87" s="2" t="s">
        <v>1594</v>
      </c>
    </row>
    <row r="88" spans="1:9" ht="87.75">
      <c r="A88" s="2">
        <v>90</v>
      </c>
      <c r="B88" s="2" t="s">
        <v>122</v>
      </c>
      <c r="C88" s="2" t="s">
        <v>1898</v>
      </c>
      <c r="D88" s="2" t="s">
        <v>1736</v>
      </c>
      <c r="E88" s="2" t="s">
        <v>1899</v>
      </c>
      <c r="F88" s="2" t="s">
        <v>833</v>
      </c>
      <c r="G88" s="2" t="s">
        <v>1900</v>
      </c>
      <c r="H88" s="2" t="s">
        <v>1901</v>
      </c>
      <c r="I88" s="2" t="s">
        <v>1577</v>
      </c>
    </row>
    <row r="89" spans="1:9" ht="121.5">
      <c r="A89" s="2">
        <v>91</v>
      </c>
      <c r="B89" s="2" t="s">
        <v>122</v>
      </c>
      <c r="C89" s="2" t="s">
        <v>1902</v>
      </c>
      <c r="D89" s="2" t="s">
        <v>1736</v>
      </c>
      <c r="E89" s="2" t="s">
        <v>1903</v>
      </c>
      <c r="F89" s="2" t="s">
        <v>833</v>
      </c>
      <c r="G89" s="2" t="s">
        <v>1904</v>
      </c>
      <c r="H89" s="2" t="s">
        <v>1905</v>
      </c>
      <c r="I89" s="2" t="s">
        <v>1577</v>
      </c>
    </row>
    <row r="90" spans="1:9" ht="87.75">
      <c r="A90" s="2">
        <v>92</v>
      </c>
      <c r="B90" s="2" t="s">
        <v>122</v>
      </c>
      <c r="C90" s="2" t="s">
        <v>1906</v>
      </c>
      <c r="D90" s="2" t="s">
        <v>1736</v>
      </c>
      <c r="E90" s="2" t="s">
        <v>1907</v>
      </c>
      <c r="F90" s="2" t="s">
        <v>839</v>
      </c>
      <c r="G90" s="2" t="s">
        <v>1908</v>
      </c>
      <c r="H90" s="2" t="s">
        <v>1909</v>
      </c>
      <c r="I90" s="2" t="s">
        <v>1577</v>
      </c>
    </row>
    <row r="91" spans="1:9" ht="220.5">
      <c r="A91" s="2">
        <v>93</v>
      </c>
      <c r="B91" s="2" t="s">
        <v>122</v>
      </c>
      <c r="C91" s="2" t="s">
        <v>1910</v>
      </c>
      <c r="D91" s="2" t="s">
        <v>1736</v>
      </c>
      <c r="E91" s="2" t="s">
        <v>1911</v>
      </c>
      <c r="F91" s="2" t="s">
        <v>839</v>
      </c>
      <c r="G91" s="2" t="s">
        <v>1912</v>
      </c>
      <c r="H91" s="2" t="s">
        <v>1913</v>
      </c>
      <c r="I91" s="2" t="s">
        <v>1577</v>
      </c>
    </row>
    <row r="92" spans="1:9" ht="87.75">
      <c r="A92" s="2">
        <v>94</v>
      </c>
      <c r="B92" s="2" t="s">
        <v>122</v>
      </c>
      <c r="C92" s="2" t="s">
        <v>1914</v>
      </c>
      <c r="D92" s="2" t="s">
        <v>1736</v>
      </c>
      <c r="E92" s="2" t="s">
        <v>1915</v>
      </c>
      <c r="F92" s="2" t="s">
        <v>845</v>
      </c>
      <c r="G92" s="2" t="s">
        <v>1916</v>
      </c>
      <c r="H92" s="2" t="s">
        <v>1917</v>
      </c>
      <c r="I92" s="2" t="s">
        <v>1577</v>
      </c>
    </row>
    <row r="93" spans="1:9" ht="143.25">
      <c r="A93" s="2">
        <v>95</v>
      </c>
      <c r="B93" s="2" t="s">
        <v>122</v>
      </c>
      <c r="C93" s="2" t="s">
        <v>1918</v>
      </c>
      <c r="D93" s="2" t="s">
        <v>1736</v>
      </c>
      <c r="E93" s="2" t="s">
        <v>1919</v>
      </c>
      <c r="F93" s="2" t="s">
        <v>845</v>
      </c>
      <c r="G93" s="2" t="s">
        <v>1920</v>
      </c>
      <c r="H93" s="2" t="s">
        <v>1921</v>
      </c>
      <c r="I93" s="2" t="s">
        <v>1577</v>
      </c>
    </row>
    <row r="94" spans="1:9" ht="87.75">
      <c r="A94" s="2">
        <v>96</v>
      </c>
      <c r="B94" s="2" t="s">
        <v>122</v>
      </c>
      <c r="C94" s="2" t="s">
        <v>1922</v>
      </c>
      <c r="D94" s="2" t="s">
        <v>1736</v>
      </c>
      <c r="E94" s="2" t="s">
        <v>1923</v>
      </c>
      <c r="F94" s="2" t="s">
        <v>850</v>
      </c>
      <c r="G94" s="2" t="s">
        <v>1924</v>
      </c>
      <c r="H94" s="2" t="s">
        <v>1925</v>
      </c>
      <c r="I94" s="2" t="s">
        <v>1577</v>
      </c>
    </row>
    <row r="95" spans="1:9" ht="121.5">
      <c r="A95" s="2">
        <v>97</v>
      </c>
      <c r="B95" s="2" t="s">
        <v>122</v>
      </c>
      <c r="C95" s="2" t="s">
        <v>1926</v>
      </c>
      <c r="D95" s="2" t="s">
        <v>1736</v>
      </c>
      <c r="E95" s="2" t="s">
        <v>1927</v>
      </c>
      <c r="F95" s="2" t="s">
        <v>850</v>
      </c>
      <c r="G95" s="2" t="s">
        <v>1928</v>
      </c>
      <c r="H95" s="2" t="s">
        <v>1929</v>
      </c>
      <c r="I95" s="2" t="s">
        <v>1577</v>
      </c>
    </row>
    <row r="96" spans="1:9" ht="87.75">
      <c r="A96" s="2">
        <v>98</v>
      </c>
      <c r="B96" s="2" t="s">
        <v>122</v>
      </c>
      <c r="C96" s="2" t="s">
        <v>1930</v>
      </c>
      <c r="D96" s="2" t="s">
        <v>1736</v>
      </c>
      <c r="E96" s="2" t="s">
        <v>1931</v>
      </c>
      <c r="F96" s="2" t="s">
        <v>855</v>
      </c>
      <c r="G96" s="2" t="s">
        <v>1932</v>
      </c>
      <c r="H96" s="2" t="s">
        <v>1933</v>
      </c>
      <c r="I96" s="2" t="s">
        <v>1577</v>
      </c>
    </row>
    <row r="97" spans="1:9" ht="121.5">
      <c r="A97" s="2">
        <v>99</v>
      </c>
      <c r="B97" s="2" t="s">
        <v>122</v>
      </c>
      <c r="C97" s="2" t="s">
        <v>1934</v>
      </c>
      <c r="D97" s="2" t="s">
        <v>1736</v>
      </c>
      <c r="E97" s="2" t="s">
        <v>1935</v>
      </c>
      <c r="F97" s="2" t="s">
        <v>855</v>
      </c>
      <c r="G97" s="2" t="s">
        <v>1936</v>
      </c>
      <c r="H97" s="2" t="s">
        <v>1937</v>
      </c>
      <c r="I97" s="2" t="s">
        <v>1577</v>
      </c>
    </row>
    <row r="98" spans="1:9" ht="87.75">
      <c r="A98" s="2">
        <v>100</v>
      </c>
      <c r="B98" s="2" t="s">
        <v>122</v>
      </c>
      <c r="C98" s="2" t="s">
        <v>1938</v>
      </c>
      <c r="D98" s="2" t="s">
        <v>1736</v>
      </c>
      <c r="E98" s="2" t="s">
        <v>1939</v>
      </c>
      <c r="F98" s="2" t="s">
        <v>860</v>
      </c>
      <c r="G98" s="2" t="s">
        <v>1940</v>
      </c>
      <c r="H98" s="2" t="s">
        <v>1941</v>
      </c>
      <c r="I98" s="2" t="s">
        <v>1577</v>
      </c>
    </row>
    <row r="99" spans="1:9" ht="121.5">
      <c r="A99" s="2">
        <v>101</v>
      </c>
      <c r="B99" s="2" t="s">
        <v>122</v>
      </c>
      <c r="C99" s="2" t="s">
        <v>1942</v>
      </c>
      <c r="D99" s="2" t="s">
        <v>1736</v>
      </c>
      <c r="E99" s="2" t="s">
        <v>1943</v>
      </c>
      <c r="F99" s="2" t="s">
        <v>860</v>
      </c>
      <c r="G99" s="2" t="s">
        <v>1944</v>
      </c>
      <c r="H99" s="2" t="s">
        <v>1945</v>
      </c>
      <c r="I99" s="2" t="s">
        <v>1577</v>
      </c>
    </row>
    <row r="100" spans="1:9" ht="77.25">
      <c r="A100" s="2">
        <v>102</v>
      </c>
      <c r="B100" s="2" t="s">
        <v>122</v>
      </c>
      <c r="C100" s="2" t="s">
        <v>1946</v>
      </c>
      <c r="D100" s="2" t="s">
        <v>1573</v>
      </c>
      <c r="E100" s="2" t="s">
        <v>1947</v>
      </c>
      <c r="F100" s="2" t="s">
        <v>1948</v>
      </c>
      <c r="G100" s="2" t="s">
        <v>1949</v>
      </c>
      <c r="H100" s="2" t="s">
        <v>1950</v>
      </c>
      <c r="I100" s="2" t="s">
        <v>1577</v>
      </c>
    </row>
    <row r="101" spans="1:9" ht="110.25">
      <c r="A101" s="2">
        <v>103</v>
      </c>
      <c r="B101" s="2" t="s">
        <v>122</v>
      </c>
      <c r="C101" s="2" t="s">
        <v>1951</v>
      </c>
      <c r="D101" s="2" t="s">
        <v>1573</v>
      </c>
      <c r="E101" s="2" t="s">
        <v>1952</v>
      </c>
      <c r="F101" s="2" t="s">
        <v>1948</v>
      </c>
      <c r="G101" s="2" t="s">
        <v>1953</v>
      </c>
      <c r="H101" s="2" t="s">
        <v>1954</v>
      </c>
      <c r="I101" s="2" t="s">
        <v>1577</v>
      </c>
    </row>
    <row r="102" spans="1:9" ht="77.25">
      <c r="A102" s="2">
        <v>104</v>
      </c>
      <c r="B102" s="2" t="s">
        <v>122</v>
      </c>
      <c r="C102" s="2" t="s">
        <v>1955</v>
      </c>
      <c r="D102" s="2" t="s">
        <v>1573</v>
      </c>
      <c r="E102" s="2" t="s">
        <v>1956</v>
      </c>
      <c r="F102" s="2" t="s">
        <v>1957</v>
      </c>
      <c r="G102" s="2" t="s">
        <v>1958</v>
      </c>
      <c r="H102" s="2" t="s">
        <v>1959</v>
      </c>
      <c r="I102" s="2" t="s">
        <v>1577</v>
      </c>
    </row>
    <row r="103" spans="1:9" ht="220.5">
      <c r="A103" s="2">
        <v>105</v>
      </c>
      <c r="B103" s="2" t="s">
        <v>122</v>
      </c>
      <c r="C103" s="2" t="s">
        <v>1960</v>
      </c>
      <c r="D103" s="2" t="s">
        <v>1573</v>
      </c>
      <c r="E103" s="2" t="s">
        <v>1961</v>
      </c>
      <c r="F103" s="2" t="s">
        <v>1957</v>
      </c>
      <c r="G103" s="2" t="s">
        <v>1962</v>
      </c>
      <c r="H103" s="2" t="s">
        <v>1963</v>
      </c>
      <c r="I103" s="2" t="s">
        <v>1577</v>
      </c>
    </row>
    <row r="104" spans="1:9" ht="87.75">
      <c r="A104" s="2">
        <v>106</v>
      </c>
      <c r="B104" s="2" t="s">
        <v>122</v>
      </c>
      <c r="C104" s="2" t="s">
        <v>1964</v>
      </c>
      <c r="D104" s="2" t="s">
        <v>1573</v>
      </c>
      <c r="E104" s="2" t="s">
        <v>1965</v>
      </c>
      <c r="F104" s="2" t="s">
        <v>893</v>
      </c>
      <c r="G104" s="2" t="s">
        <v>1966</v>
      </c>
      <c r="H104" s="2" t="s">
        <v>1967</v>
      </c>
      <c r="I104" s="2" t="s">
        <v>1577</v>
      </c>
    </row>
    <row r="105" spans="1:9" ht="154.5">
      <c r="A105" s="2">
        <v>107</v>
      </c>
      <c r="B105" s="2" t="s">
        <v>122</v>
      </c>
      <c r="C105" s="2" t="s">
        <v>1968</v>
      </c>
      <c r="D105" s="2" t="s">
        <v>1573</v>
      </c>
      <c r="E105" s="2" t="s">
        <v>1969</v>
      </c>
      <c r="F105" s="2" t="s">
        <v>893</v>
      </c>
      <c r="G105" s="2" t="s">
        <v>1970</v>
      </c>
      <c r="H105" s="2" t="s">
        <v>1971</v>
      </c>
      <c r="I105" s="2" t="s">
        <v>1577</v>
      </c>
    </row>
    <row r="106" spans="1:9" ht="77.25">
      <c r="A106" s="2">
        <v>108</v>
      </c>
      <c r="B106" s="2" t="s">
        <v>122</v>
      </c>
      <c r="C106" s="2" t="s">
        <v>1972</v>
      </c>
      <c r="D106" s="2" t="s">
        <v>1573</v>
      </c>
      <c r="E106" s="2" t="s">
        <v>1973</v>
      </c>
      <c r="F106" s="2" t="s">
        <v>899</v>
      </c>
      <c r="G106" s="2" t="s">
        <v>1974</v>
      </c>
      <c r="H106" s="2" t="s">
        <v>1975</v>
      </c>
      <c r="I106" s="2" t="s">
        <v>1577</v>
      </c>
    </row>
    <row r="107" spans="1:9" ht="110.25">
      <c r="A107" s="2">
        <v>109</v>
      </c>
      <c r="B107" s="2" t="s">
        <v>122</v>
      </c>
      <c r="C107" s="2" t="s">
        <v>1976</v>
      </c>
      <c r="D107" s="2" t="s">
        <v>1573</v>
      </c>
      <c r="E107" s="2" t="s">
        <v>1977</v>
      </c>
      <c r="F107" s="2" t="s">
        <v>899</v>
      </c>
      <c r="G107" s="2" t="s">
        <v>1978</v>
      </c>
      <c r="H107" s="2" t="s">
        <v>1979</v>
      </c>
      <c r="I107" s="2" t="s">
        <v>1577</v>
      </c>
    </row>
    <row r="108" spans="1:9" ht="87.75">
      <c r="A108" s="2">
        <v>110</v>
      </c>
      <c r="B108" s="2" t="s">
        <v>122</v>
      </c>
      <c r="C108" s="2" t="s">
        <v>1980</v>
      </c>
      <c r="D108" s="2" t="s">
        <v>1573</v>
      </c>
      <c r="E108" s="2" t="s">
        <v>1981</v>
      </c>
      <c r="F108" s="2" t="s">
        <v>905</v>
      </c>
      <c r="G108" s="2" t="s">
        <v>1982</v>
      </c>
      <c r="H108" s="2" t="s">
        <v>1983</v>
      </c>
      <c r="I108" s="2" t="s">
        <v>1577</v>
      </c>
    </row>
    <row r="109" spans="1:9" ht="121.5">
      <c r="A109" s="2">
        <v>111</v>
      </c>
      <c r="B109" s="2" t="s">
        <v>122</v>
      </c>
      <c r="C109" s="2" t="s">
        <v>1984</v>
      </c>
      <c r="D109" s="2" t="s">
        <v>1573</v>
      </c>
      <c r="E109" s="2" t="s">
        <v>1985</v>
      </c>
      <c r="F109" s="2" t="s">
        <v>905</v>
      </c>
      <c r="G109" s="2" t="s">
        <v>1986</v>
      </c>
      <c r="H109" s="2" t="s">
        <v>1987</v>
      </c>
      <c r="I109" s="2" t="s">
        <v>1577</v>
      </c>
    </row>
    <row r="110" spans="1:9" ht="87.75">
      <c r="A110" s="2">
        <v>112</v>
      </c>
      <c r="B110" s="2" t="s">
        <v>122</v>
      </c>
      <c r="C110" s="2" t="s">
        <v>1988</v>
      </c>
      <c r="D110" s="2" t="s">
        <v>1573</v>
      </c>
      <c r="E110" s="2" t="s">
        <v>1989</v>
      </c>
      <c r="F110" s="2" t="s">
        <v>911</v>
      </c>
      <c r="G110" s="2" t="s">
        <v>1990</v>
      </c>
      <c r="H110" s="2" t="s">
        <v>1991</v>
      </c>
      <c r="I110" s="2" t="s">
        <v>1577</v>
      </c>
    </row>
    <row r="111" spans="1:9" ht="121.5">
      <c r="A111" s="2">
        <v>113</v>
      </c>
      <c r="B111" s="2" t="s">
        <v>122</v>
      </c>
      <c r="C111" s="2" t="s">
        <v>1992</v>
      </c>
      <c r="D111" s="2" t="s">
        <v>1573</v>
      </c>
      <c r="E111" s="2" t="s">
        <v>1993</v>
      </c>
      <c r="F111" s="2" t="s">
        <v>911</v>
      </c>
      <c r="G111" s="2" t="s">
        <v>1994</v>
      </c>
      <c r="H111" s="2" t="s">
        <v>1995</v>
      </c>
      <c r="I111" s="2" t="s">
        <v>1577</v>
      </c>
    </row>
    <row r="112" spans="1:9" ht="87.75">
      <c r="A112" s="2">
        <v>114</v>
      </c>
      <c r="B112" s="2" t="s">
        <v>122</v>
      </c>
      <c r="C112" s="2" t="s">
        <v>1996</v>
      </c>
      <c r="D112" s="2" t="s">
        <v>1573</v>
      </c>
      <c r="E112" s="2" t="s">
        <v>1997</v>
      </c>
      <c r="F112" s="2" t="s">
        <v>1480</v>
      </c>
      <c r="G112" s="2" t="s">
        <v>1998</v>
      </c>
      <c r="H112" s="2" t="s">
        <v>1999</v>
      </c>
      <c r="I112" s="2" t="s">
        <v>1577</v>
      </c>
    </row>
    <row r="113" spans="1:9" ht="121.5">
      <c r="A113" s="2">
        <v>115</v>
      </c>
      <c r="B113" s="2" t="s">
        <v>122</v>
      </c>
      <c r="C113" s="2" t="s">
        <v>2000</v>
      </c>
      <c r="D113" s="2" t="s">
        <v>1573</v>
      </c>
      <c r="E113" s="2" t="s">
        <v>2001</v>
      </c>
      <c r="F113" s="2" t="s">
        <v>1480</v>
      </c>
      <c r="G113" s="2" t="s">
        <v>2002</v>
      </c>
      <c r="H113" s="2" t="s">
        <v>2003</v>
      </c>
      <c r="I113" s="2" t="s">
        <v>1577</v>
      </c>
    </row>
    <row r="114" spans="1:9" ht="87.75">
      <c r="A114" s="2">
        <v>116</v>
      </c>
      <c r="B114" s="2" t="s">
        <v>122</v>
      </c>
      <c r="C114" s="2" t="s">
        <v>2004</v>
      </c>
      <c r="D114" s="2" t="s">
        <v>1573</v>
      </c>
      <c r="E114" s="2" t="s">
        <v>2005</v>
      </c>
      <c r="F114" s="2" t="s">
        <v>1483</v>
      </c>
      <c r="G114" s="2" t="s">
        <v>2006</v>
      </c>
      <c r="H114" s="2" t="s">
        <v>2007</v>
      </c>
      <c r="I114" s="2" t="s">
        <v>1577</v>
      </c>
    </row>
    <row r="115" spans="1:9" ht="198.75">
      <c r="A115" s="2">
        <v>117</v>
      </c>
      <c r="B115" s="2" t="s">
        <v>122</v>
      </c>
      <c r="C115" s="2" t="s">
        <v>2008</v>
      </c>
      <c r="D115" s="2" t="s">
        <v>1573</v>
      </c>
      <c r="E115" s="2" t="s">
        <v>2009</v>
      </c>
      <c r="F115" s="2" t="s">
        <v>1483</v>
      </c>
      <c r="G115" s="2" t="s">
        <v>2010</v>
      </c>
      <c r="H115" s="2" t="s">
        <v>2011</v>
      </c>
      <c r="I115" s="2" t="s">
        <v>1577</v>
      </c>
    </row>
    <row r="116" spans="1:9" ht="87.75">
      <c r="A116" s="2">
        <v>118</v>
      </c>
      <c r="B116" s="2" t="s">
        <v>122</v>
      </c>
      <c r="C116" s="2" t="s">
        <v>2012</v>
      </c>
      <c r="D116" s="2" t="s">
        <v>1573</v>
      </c>
      <c r="E116" s="2" t="s">
        <v>2013</v>
      </c>
      <c r="F116" s="2" t="s">
        <v>928</v>
      </c>
      <c r="G116" s="2" t="s">
        <v>2014</v>
      </c>
      <c r="H116" s="2" t="s">
        <v>2015</v>
      </c>
      <c r="I116" s="2" t="s">
        <v>1577</v>
      </c>
    </row>
    <row r="117" spans="1:9" ht="143.25">
      <c r="A117" s="2">
        <v>119</v>
      </c>
      <c r="B117" s="2" t="s">
        <v>122</v>
      </c>
      <c r="C117" s="2" t="s">
        <v>2016</v>
      </c>
      <c r="D117" s="2" t="s">
        <v>1573</v>
      </c>
      <c r="E117" s="2" t="s">
        <v>2017</v>
      </c>
      <c r="F117" s="2" t="s">
        <v>928</v>
      </c>
      <c r="G117" s="2" t="s">
        <v>2018</v>
      </c>
      <c r="H117" s="2" t="s">
        <v>2019</v>
      </c>
      <c r="I117" s="2" t="s">
        <v>1577</v>
      </c>
    </row>
    <row r="118" spans="1:9" ht="66.75">
      <c r="A118" s="2">
        <v>120</v>
      </c>
      <c r="B118" s="2" t="s">
        <v>122</v>
      </c>
      <c r="C118" s="2" t="s">
        <v>2020</v>
      </c>
      <c r="D118" s="2" t="s">
        <v>1573</v>
      </c>
      <c r="E118" s="2" t="s">
        <v>2021</v>
      </c>
      <c r="F118" s="2" t="s">
        <v>1488</v>
      </c>
      <c r="G118" s="2" t="s">
        <v>2022</v>
      </c>
      <c r="H118" s="2" t="s">
        <v>2023</v>
      </c>
      <c r="I118" s="2" t="s">
        <v>1577</v>
      </c>
    </row>
    <row r="119" spans="1:9" ht="110.25">
      <c r="A119" s="2">
        <v>121</v>
      </c>
      <c r="B119" s="2" t="s">
        <v>122</v>
      </c>
      <c r="C119" s="2" t="s">
        <v>2024</v>
      </c>
      <c r="D119" s="2" t="s">
        <v>1573</v>
      </c>
      <c r="E119" s="2" t="s">
        <v>2025</v>
      </c>
      <c r="F119" s="2" t="s">
        <v>1488</v>
      </c>
      <c r="G119" s="2" t="s">
        <v>2026</v>
      </c>
      <c r="H119" s="2" t="s">
        <v>2027</v>
      </c>
      <c r="I119" s="2" t="s">
        <v>1577</v>
      </c>
    </row>
    <row r="120" spans="1:9" ht="66.75">
      <c r="A120" s="2">
        <v>122</v>
      </c>
      <c r="B120" s="2" t="s">
        <v>116</v>
      </c>
      <c r="C120" s="2" t="s">
        <v>2028</v>
      </c>
      <c r="D120" s="2" t="s">
        <v>1591</v>
      </c>
      <c r="E120" s="2" t="s">
        <v>2029</v>
      </c>
      <c r="F120" s="2" t="s">
        <v>1492</v>
      </c>
      <c r="G120" s="2" t="s">
        <v>2030</v>
      </c>
      <c r="H120" s="2" t="s">
        <v>2031</v>
      </c>
      <c r="I120" s="2" t="s">
        <v>1594</v>
      </c>
    </row>
    <row r="121" spans="1:9" ht="99">
      <c r="A121" s="2">
        <v>123</v>
      </c>
      <c r="B121" s="2" t="s">
        <v>116</v>
      </c>
      <c r="C121" s="2" t="s">
        <v>2032</v>
      </c>
      <c r="D121" s="2" t="s">
        <v>1591</v>
      </c>
      <c r="E121" s="2" t="s">
        <v>2033</v>
      </c>
      <c r="F121" s="2" t="s">
        <v>1492</v>
      </c>
      <c r="G121" s="2" t="s">
        <v>2034</v>
      </c>
      <c r="H121" s="2" t="s">
        <v>2035</v>
      </c>
      <c r="I121" s="2" t="s">
        <v>1594</v>
      </c>
    </row>
    <row r="122" spans="1:9" ht="55.5">
      <c r="A122" s="2">
        <v>124</v>
      </c>
      <c r="B122" s="2" t="s">
        <v>116</v>
      </c>
      <c r="C122" s="2" t="s">
        <v>2036</v>
      </c>
      <c r="D122" s="2" t="s">
        <v>1591</v>
      </c>
      <c r="E122" s="2" t="s">
        <v>2037</v>
      </c>
      <c r="F122" s="2" t="s">
        <v>1496</v>
      </c>
      <c r="G122" s="2" t="s">
        <v>2038</v>
      </c>
      <c r="H122" s="2" t="s">
        <v>2039</v>
      </c>
      <c r="I122" s="2" t="s">
        <v>1594</v>
      </c>
    </row>
    <row r="123" spans="1:9" ht="99">
      <c r="A123" s="2">
        <v>125</v>
      </c>
      <c r="B123" s="2" t="s">
        <v>116</v>
      </c>
      <c r="C123" s="2" t="s">
        <v>2040</v>
      </c>
      <c r="D123" s="2" t="s">
        <v>1591</v>
      </c>
      <c r="E123" s="2" t="s">
        <v>2041</v>
      </c>
      <c r="F123" s="2" t="s">
        <v>1496</v>
      </c>
      <c r="G123" s="2" t="s">
        <v>2042</v>
      </c>
      <c r="H123" s="2" t="s">
        <v>2043</v>
      </c>
      <c r="I123" s="2" t="s">
        <v>1594</v>
      </c>
    </row>
    <row r="124" spans="1:9" ht="66.75">
      <c r="A124" s="2">
        <v>126</v>
      </c>
      <c r="B124" s="2" t="s">
        <v>116</v>
      </c>
      <c r="C124" s="2" t="s">
        <v>2044</v>
      </c>
      <c r="D124" s="2" t="s">
        <v>1591</v>
      </c>
      <c r="E124" s="2" t="s">
        <v>2045</v>
      </c>
      <c r="F124" s="2" t="s">
        <v>1499</v>
      </c>
      <c r="G124" s="2" t="s">
        <v>2046</v>
      </c>
      <c r="H124" s="2" t="s">
        <v>2047</v>
      </c>
      <c r="I124" s="2" t="s">
        <v>1594</v>
      </c>
    </row>
    <row r="125" spans="1:9" ht="99">
      <c r="A125" s="2">
        <v>127</v>
      </c>
      <c r="B125" s="2" t="s">
        <v>116</v>
      </c>
      <c r="C125" s="2" t="s">
        <v>2048</v>
      </c>
      <c r="D125" s="2" t="s">
        <v>1591</v>
      </c>
      <c r="E125" s="2" t="s">
        <v>2049</v>
      </c>
      <c r="F125" s="2" t="s">
        <v>1499</v>
      </c>
      <c r="G125" s="2" t="s">
        <v>2050</v>
      </c>
      <c r="H125" s="2" t="s">
        <v>2051</v>
      </c>
      <c r="I125" s="2" t="s">
        <v>1594</v>
      </c>
    </row>
    <row r="126" spans="1:9" ht="66.75">
      <c r="A126" s="2">
        <v>128</v>
      </c>
      <c r="B126" s="2" t="s">
        <v>116</v>
      </c>
      <c r="C126" s="2" t="s">
        <v>2052</v>
      </c>
      <c r="D126" s="2" t="s">
        <v>1591</v>
      </c>
      <c r="E126" s="2" t="s">
        <v>2053</v>
      </c>
      <c r="F126" s="2" t="s">
        <v>1503</v>
      </c>
      <c r="G126" s="2" t="s">
        <v>2054</v>
      </c>
      <c r="H126" s="2" t="s">
        <v>2055</v>
      </c>
      <c r="I126" s="2" t="s">
        <v>1594</v>
      </c>
    </row>
    <row r="127" spans="1:9" ht="165.75">
      <c r="A127" s="2">
        <v>129</v>
      </c>
      <c r="B127" s="2" t="s">
        <v>116</v>
      </c>
      <c r="C127" s="2" t="s">
        <v>2056</v>
      </c>
      <c r="D127" s="2" t="s">
        <v>1591</v>
      </c>
      <c r="E127" s="2" t="s">
        <v>2057</v>
      </c>
      <c r="F127" s="2" t="s">
        <v>1503</v>
      </c>
      <c r="G127" s="2" t="s">
        <v>2058</v>
      </c>
      <c r="H127" s="2" t="s">
        <v>2059</v>
      </c>
      <c r="I127" s="2" t="s">
        <v>1594</v>
      </c>
    </row>
    <row r="128" spans="1:9" ht="66.75">
      <c r="A128" s="2">
        <v>130</v>
      </c>
      <c r="B128" s="2" t="s">
        <v>116</v>
      </c>
      <c r="C128" s="2" t="s">
        <v>2060</v>
      </c>
      <c r="D128" s="2" t="s">
        <v>1591</v>
      </c>
      <c r="E128" s="2" t="s">
        <v>2061</v>
      </c>
      <c r="F128" s="2" t="s">
        <v>1507</v>
      </c>
      <c r="G128" s="2" t="s">
        <v>2062</v>
      </c>
      <c r="H128" s="2" t="s">
        <v>2063</v>
      </c>
      <c r="I128" s="2" t="s">
        <v>1594</v>
      </c>
    </row>
    <row r="129" spans="1:9" ht="110.25">
      <c r="A129" s="2">
        <v>131</v>
      </c>
      <c r="B129" s="2" t="s">
        <v>116</v>
      </c>
      <c r="C129" s="2" t="s">
        <v>2064</v>
      </c>
      <c r="D129" s="2" t="s">
        <v>1591</v>
      </c>
      <c r="E129" s="2" t="s">
        <v>2065</v>
      </c>
      <c r="F129" s="2" t="s">
        <v>1507</v>
      </c>
      <c r="G129" s="2" t="s">
        <v>2066</v>
      </c>
      <c r="H129" s="2" t="s">
        <v>2067</v>
      </c>
      <c r="I129" s="2" t="s">
        <v>1594</v>
      </c>
    </row>
    <row r="130" spans="1:9" ht="66.75">
      <c r="A130" s="2">
        <v>132</v>
      </c>
      <c r="B130" s="2" t="s">
        <v>116</v>
      </c>
      <c r="C130" s="2" t="s">
        <v>2068</v>
      </c>
      <c r="D130" s="2" t="s">
        <v>1591</v>
      </c>
      <c r="E130" s="2" t="s">
        <v>2069</v>
      </c>
      <c r="F130" s="2" t="s">
        <v>1511</v>
      </c>
      <c r="G130" s="2" t="s">
        <v>2070</v>
      </c>
      <c r="H130" s="2" t="s">
        <v>2071</v>
      </c>
      <c r="I130" s="2" t="s">
        <v>1594</v>
      </c>
    </row>
    <row r="131" spans="1:9" ht="66.75">
      <c r="A131" s="2">
        <v>134</v>
      </c>
      <c r="B131" s="2" t="s">
        <v>116</v>
      </c>
      <c r="C131" s="2" t="s">
        <v>2072</v>
      </c>
      <c r="D131" s="2" t="s">
        <v>1591</v>
      </c>
      <c r="E131" s="2" t="s">
        <v>2073</v>
      </c>
      <c r="F131" s="2" t="s">
        <v>1515</v>
      </c>
      <c r="G131" s="2" t="s">
        <v>2074</v>
      </c>
      <c r="H131" s="2" t="s">
        <v>2075</v>
      </c>
      <c r="I131" s="2" t="s">
        <v>1594</v>
      </c>
    </row>
    <row r="132" spans="1:9" ht="99">
      <c r="A132" s="2">
        <v>135</v>
      </c>
      <c r="B132" s="2" t="s">
        <v>116</v>
      </c>
      <c r="C132" s="2" t="s">
        <v>2076</v>
      </c>
      <c r="D132" s="2" t="s">
        <v>1591</v>
      </c>
      <c r="E132" s="2" t="s">
        <v>2077</v>
      </c>
      <c r="F132" s="2" t="s">
        <v>1515</v>
      </c>
      <c r="G132" s="2" t="s">
        <v>2078</v>
      </c>
      <c r="H132" s="2" t="s">
        <v>2079</v>
      </c>
      <c r="I132" s="2" t="s">
        <v>1594</v>
      </c>
    </row>
    <row r="133" spans="1:9" ht="66.75">
      <c r="A133" s="2">
        <v>136</v>
      </c>
      <c r="B133" s="2" t="s">
        <v>116</v>
      </c>
      <c r="C133" s="2" t="s">
        <v>2080</v>
      </c>
      <c r="D133" s="2" t="s">
        <v>1591</v>
      </c>
      <c r="E133" s="2" t="s">
        <v>2081</v>
      </c>
      <c r="F133" s="2" t="s">
        <v>1518</v>
      </c>
      <c r="G133" s="2" t="s">
        <v>2082</v>
      </c>
      <c r="H133" s="2" t="s">
        <v>2083</v>
      </c>
      <c r="I133" s="2" t="s">
        <v>1594</v>
      </c>
    </row>
    <row r="134" spans="1:9" ht="99">
      <c r="A134" s="2">
        <v>137</v>
      </c>
      <c r="B134" s="2" t="s">
        <v>116</v>
      </c>
      <c r="C134" s="2" t="s">
        <v>2084</v>
      </c>
      <c r="D134" s="2" t="s">
        <v>1591</v>
      </c>
      <c r="E134" s="2" t="s">
        <v>2085</v>
      </c>
      <c r="F134" s="2" t="s">
        <v>1518</v>
      </c>
      <c r="G134" s="2" t="s">
        <v>2086</v>
      </c>
      <c r="H134" s="2" t="s">
        <v>2087</v>
      </c>
      <c r="I134" s="2" t="s">
        <v>1594</v>
      </c>
    </row>
    <row r="135" spans="1:9" ht="66.75">
      <c r="A135" s="2">
        <v>138</v>
      </c>
      <c r="B135" s="2" t="s">
        <v>116</v>
      </c>
      <c r="C135" s="2" t="s">
        <v>2088</v>
      </c>
      <c r="D135" s="2" t="s">
        <v>1591</v>
      </c>
      <c r="E135" s="2" t="s">
        <v>2089</v>
      </c>
      <c r="F135" s="2" t="s">
        <v>1521</v>
      </c>
      <c r="G135" s="2" t="s">
        <v>2090</v>
      </c>
      <c r="H135" s="2" t="s">
        <v>2091</v>
      </c>
      <c r="I135" s="2" t="s">
        <v>1594</v>
      </c>
    </row>
    <row r="136" spans="1:9" ht="99">
      <c r="A136" s="2">
        <v>139</v>
      </c>
      <c r="B136" s="2" t="s">
        <v>116</v>
      </c>
      <c r="C136" s="2" t="s">
        <v>2092</v>
      </c>
      <c r="D136" s="2" t="s">
        <v>1591</v>
      </c>
      <c r="E136" s="2" t="s">
        <v>2093</v>
      </c>
      <c r="F136" s="2" t="s">
        <v>1521</v>
      </c>
      <c r="G136" s="2" t="s">
        <v>2094</v>
      </c>
      <c r="H136" s="2" t="s">
        <v>2095</v>
      </c>
      <c r="I136" s="2" t="s">
        <v>1594</v>
      </c>
    </row>
    <row r="137" spans="1:9" ht="66.75">
      <c r="A137" s="2">
        <v>140</v>
      </c>
      <c r="B137" s="2" t="s">
        <v>116</v>
      </c>
      <c r="C137" s="2" t="s">
        <v>2096</v>
      </c>
      <c r="D137" s="2" t="s">
        <v>1591</v>
      </c>
      <c r="E137" s="2" t="s">
        <v>2097</v>
      </c>
      <c r="F137" s="2" t="s">
        <v>1525</v>
      </c>
      <c r="G137" s="2" t="s">
        <v>2098</v>
      </c>
      <c r="H137" s="2" t="s">
        <v>2099</v>
      </c>
      <c r="I137" s="2" t="s">
        <v>1594</v>
      </c>
    </row>
    <row r="138" spans="1:9" ht="188.25">
      <c r="A138" s="2">
        <v>141</v>
      </c>
      <c r="B138" s="2" t="s">
        <v>116</v>
      </c>
      <c r="C138" s="2" t="s">
        <v>2100</v>
      </c>
      <c r="D138" s="2" t="s">
        <v>1591</v>
      </c>
      <c r="E138" s="2" t="s">
        <v>2101</v>
      </c>
      <c r="F138" s="2" t="s">
        <v>1525</v>
      </c>
      <c r="G138" s="2" t="s">
        <v>2102</v>
      </c>
      <c r="H138" s="2" t="s">
        <v>2103</v>
      </c>
      <c r="I138" s="2" t="s">
        <v>1594</v>
      </c>
    </row>
    <row r="139" spans="1:9" ht="66.75">
      <c r="A139" s="2">
        <v>142</v>
      </c>
      <c r="B139" s="2" t="s">
        <v>116</v>
      </c>
      <c r="C139" s="2" t="s">
        <v>2104</v>
      </c>
      <c r="D139" s="2" t="s">
        <v>1591</v>
      </c>
      <c r="E139" s="2" t="s">
        <v>2105</v>
      </c>
      <c r="F139" s="2" t="s">
        <v>1528</v>
      </c>
      <c r="G139" s="2" t="s">
        <v>2106</v>
      </c>
      <c r="H139" s="2" t="s">
        <v>2107</v>
      </c>
      <c r="I139" s="2" t="s">
        <v>1594</v>
      </c>
    </row>
    <row r="140" spans="1:9" ht="121.5">
      <c r="A140" s="2">
        <v>143</v>
      </c>
      <c r="B140" s="2" t="s">
        <v>116</v>
      </c>
      <c r="C140" s="2" t="s">
        <v>2108</v>
      </c>
      <c r="D140" s="2" t="s">
        <v>1591</v>
      </c>
      <c r="E140" s="2" t="s">
        <v>2109</v>
      </c>
      <c r="F140" s="2" t="s">
        <v>1528</v>
      </c>
      <c r="G140" s="2" t="s">
        <v>2110</v>
      </c>
      <c r="H140" s="2" t="s">
        <v>2111</v>
      </c>
      <c r="I140" s="2" t="s">
        <v>1594</v>
      </c>
    </row>
    <row r="141" spans="1:9" ht="66.75">
      <c r="A141" s="2">
        <v>144</v>
      </c>
      <c r="B141" s="2" t="s">
        <v>116</v>
      </c>
      <c r="C141" s="2" t="s">
        <v>2112</v>
      </c>
      <c r="D141" s="2" t="s">
        <v>1591</v>
      </c>
      <c r="E141" s="2" t="s">
        <v>2113</v>
      </c>
      <c r="F141" s="2" t="s">
        <v>1532</v>
      </c>
      <c r="G141" s="2" t="s">
        <v>2114</v>
      </c>
      <c r="H141" s="2" t="s">
        <v>2115</v>
      </c>
      <c r="I141" s="2" t="s">
        <v>1594</v>
      </c>
    </row>
    <row r="142" spans="1:9" ht="55.5">
      <c r="A142" s="2">
        <v>146</v>
      </c>
      <c r="B142" s="2" t="s">
        <v>116</v>
      </c>
      <c r="C142" s="2" t="s">
        <v>2116</v>
      </c>
      <c r="D142" s="2" t="s">
        <v>1591</v>
      </c>
      <c r="E142" s="2" t="s">
        <v>2117</v>
      </c>
      <c r="F142" s="2" t="s">
        <v>1536</v>
      </c>
      <c r="G142" s="2" t="s">
        <v>2118</v>
      </c>
      <c r="H142" s="2" t="s">
        <v>2119</v>
      </c>
      <c r="I142" s="2" t="s">
        <v>1594</v>
      </c>
    </row>
    <row r="143" spans="1:9" ht="99">
      <c r="A143" s="2">
        <v>147</v>
      </c>
      <c r="B143" s="2" t="s">
        <v>116</v>
      </c>
      <c r="C143" s="2" t="s">
        <v>2120</v>
      </c>
      <c r="D143" s="2" t="s">
        <v>1591</v>
      </c>
      <c r="E143" s="2" t="s">
        <v>2121</v>
      </c>
      <c r="F143" s="2" t="s">
        <v>1536</v>
      </c>
      <c r="G143" s="2" t="s">
        <v>2122</v>
      </c>
      <c r="H143" s="2" t="s">
        <v>2123</v>
      </c>
      <c r="I143" s="2" t="s">
        <v>1594</v>
      </c>
    </row>
    <row r="144" spans="1:9" ht="66.75">
      <c r="A144" s="2">
        <v>148</v>
      </c>
      <c r="B144" s="2" t="s">
        <v>116</v>
      </c>
      <c r="C144" s="2" t="s">
        <v>2124</v>
      </c>
      <c r="D144" s="2" t="s">
        <v>1591</v>
      </c>
      <c r="E144" s="2" t="s">
        <v>2125</v>
      </c>
      <c r="F144" s="2" t="s">
        <v>1539</v>
      </c>
      <c r="G144" s="2" t="s">
        <v>2126</v>
      </c>
      <c r="H144" s="2" t="s">
        <v>2127</v>
      </c>
      <c r="I144" s="2" t="s">
        <v>1594</v>
      </c>
    </row>
    <row r="145" spans="1:9" ht="99">
      <c r="A145" s="2">
        <v>149</v>
      </c>
      <c r="B145" s="2" t="s">
        <v>116</v>
      </c>
      <c r="C145" s="2" t="s">
        <v>2128</v>
      </c>
      <c r="D145" s="2" t="s">
        <v>1591</v>
      </c>
      <c r="E145" s="2" t="s">
        <v>2129</v>
      </c>
      <c r="F145" s="2" t="s">
        <v>1539</v>
      </c>
      <c r="G145" s="2" t="s">
        <v>2130</v>
      </c>
      <c r="H145" s="2" t="s">
        <v>2131</v>
      </c>
      <c r="I145" s="2" t="s">
        <v>1594</v>
      </c>
    </row>
    <row r="146" spans="1:9" ht="66.75">
      <c r="A146" s="2">
        <v>150</v>
      </c>
      <c r="B146" s="2" t="s">
        <v>116</v>
      </c>
      <c r="C146" s="2" t="s">
        <v>2132</v>
      </c>
      <c r="D146" s="2" t="s">
        <v>1591</v>
      </c>
      <c r="E146" s="2" t="s">
        <v>2133</v>
      </c>
      <c r="F146" s="2" t="s">
        <v>2134</v>
      </c>
      <c r="G146" s="2" t="s">
        <v>2135</v>
      </c>
      <c r="H146" s="2" t="s">
        <v>2136</v>
      </c>
      <c r="I146" s="2" t="s">
        <v>1594</v>
      </c>
    </row>
    <row r="147" spans="1:9" ht="99">
      <c r="A147" s="2">
        <v>151</v>
      </c>
      <c r="B147" s="2" t="s">
        <v>116</v>
      </c>
      <c r="C147" s="2" t="s">
        <v>2137</v>
      </c>
      <c r="D147" s="2" t="s">
        <v>1591</v>
      </c>
      <c r="E147" s="2" t="s">
        <v>2138</v>
      </c>
      <c r="F147" s="2" t="s">
        <v>2134</v>
      </c>
      <c r="G147" s="2" t="s">
        <v>2139</v>
      </c>
      <c r="H147" s="2" t="s">
        <v>2140</v>
      </c>
      <c r="I147" s="2" t="s">
        <v>1594</v>
      </c>
    </row>
    <row r="148" spans="1:9" ht="66.75">
      <c r="A148" s="2">
        <v>152</v>
      </c>
      <c r="B148" s="2" t="s">
        <v>116</v>
      </c>
      <c r="C148" s="2" t="s">
        <v>2141</v>
      </c>
      <c r="D148" s="2" t="s">
        <v>1591</v>
      </c>
      <c r="E148" s="2" t="s">
        <v>2142</v>
      </c>
      <c r="F148" s="2" t="s">
        <v>2143</v>
      </c>
      <c r="G148" s="2" t="s">
        <v>2144</v>
      </c>
      <c r="H148" s="2" t="s">
        <v>2145</v>
      </c>
      <c r="I148" s="2" t="s">
        <v>1594</v>
      </c>
    </row>
    <row r="149" spans="1:9" ht="165.75">
      <c r="A149" s="2">
        <v>153</v>
      </c>
      <c r="B149" s="2" t="s">
        <v>116</v>
      </c>
      <c r="C149" s="2" t="s">
        <v>2146</v>
      </c>
      <c r="D149" s="2" t="s">
        <v>1591</v>
      </c>
      <c r="E149" s="2" t="s">
        <v>2147</v>
      </c>
      <c r="F149" s="2" t="s">
        <v>2143</v>
      </c>
      <c r="G149" s="2" t="s">
        <v>2148</v>
      </c>
      <c r="H149" s="2" t="s">
        <v>2149</v>
      </c>
      <c r="I149" s="2" t="s">
        <v>1594</v>
      </c>
    </row>
    <row r="150" spans="1:9" ht="66.75">
      <c r="A150" s="2">
        <v>154</v>
      </c>
      <c r="B150" s="2" t="s">
        <v>116</v>
      </c>
      <c r="C150" s="2" t="s">
        <v>2150</v>
      </c>
      <c r="D150" s="2" t="s">
        <v>1591</v>
      </c>
      <c r="E150" s="2" t="s">
        <v>2151</v>
      </c>
      <c r="F150" s="2" t="s">
        <v>2152</v>
      </c>
      <c r="G150" s="2" t="s">
        <v>2153</v>
      </c>
      <c r="H150" s="2" t="s">
        <v>2154</v>
      </c>
      <c r="I150" s="2" t="s">
        <v>1594</v>
      </c>
    </row>
    <row r="151" spans="1:9" ht="132.75">
      <c r="A151" s="2">
        <v>155</v>
      </c>
      <c r="B151" s="2" t="s">
        <v>116</v>
      </c>
      <c r="C151" s="2" t="s">
        <v>2155</v>
      </c>
      <c r="D151" s="2" t="s">
        <v>1591</v>
      </c>
      <c r="E151" s="2" t="s">
        <v>2156</v>
      </c>
      <c r="F151" s="2" t="s">
        <v>2152</v>
      </c>
      <c r="G151" s="2" t="s">
        <v>2157</v>
      </c>
      <c r="H151" s="2" t="s">
        <v>2158</v>
      </c>
      <c r="I151" s="2" t="s">
        <v>1594</v>
      </c>
    </row>
    <row r="152" spans="1:9" ht="66.75">
      <c r="A152" s="2">
        <v>156</v>
      </c>
      <c r="B152" s="2" t="s">
        <v>122</v>
      </c>
      <c r="C152" s="2" t="s">
        <v>2159</v>
      </c>
      <c r="D152" s="2" t="s">
        <v>1719</v>
      </c>
      <c r="E152" s="2" t="s">
        <v>2160</v>
      </c>
      <c r="F152" s="2" t="s">
        <v>1551</v>
      </c>
      <c r="G152" s="2" t="s">
        <v>2161</v>
      </c>
      <c r="H152" s="2" t="s">
        <v>2162</v>
      </c>
      <c r="I152" s="2" t="s">
        <v>1577</v>
      </c>
    </row>
    <row r="153" spans="1:9" ht="87.75">
      <c r="A153" s="2">
        <v>158</v>
      </c>
      <c r="B153" s="2" t="s">
        <v>122</v>
      </c>
      <c r="C153" s="2" t="s">
        <v>2163</v>
      </c>
      <c r="D153" s="2" t="s">
        <v>1719</v>
      </c>
      <c r="E153" s="2" t="s">
        <v>2164</v>
      </c>
      <c r="F153" s="2" t="s">
        <v>1554</v>
      </c>
      <c r="G153" s="2" t="s">
        <v>2165</v>
      </c>
      <c r="H153" s="2" t="s">
        <v>2166</v>
      </c>
      <c r="I153" s="2" t="s">
        <v>1577</v>
      </c>
    </row>
    <row r="154" spans="1:9" ht="121.5">
      <c r="A154" s="2">
        <v>159</v>
      </c>
      <c r="B154" s="2" t="s">
        <v>122</v>
      </c>
      <c r="C154" s="2" t="s">
        <v>2167</v>
      </c>
      <c r="D154" s="2" t="s">
        <v>1719</v>
      </c>
      <c r="E154" s="2" t="s">
        <v>2168</v>
      </c>
      <c r="F154" s="2" t="s">
        <v>1554</v>
      </c>
      <c r="G154" s="2" t="s">
        <v>2169</v>
      </c>
      <c r="H154" s="2" t="s">
        <v>2170</v>
      </c>
      <c r="I154" s="2" t="s">
        <v>1577</v>
      </c>
    </row>
    <row r="155" spans="1:9" ht="66.75">
      <c r="A155" s="2">
        <v>160</v>
      </c>
      <c r="B155" s="2" t="s">
        <v>122</v>
      </c>
      <c r="C155" s="2" t="s">
        <v>2171</v>
      </c>
      <c r="D155" s="2" t="s">
        <v>1719</v>
      </c>
      <c r="E155" s="2" t="s">
        <v>2172</v>
      </c>
      <c r="F155" s="2" t="s">
        <v>1557</v>
      </c>
      <c r="G155" s="2" t="s">
        <v>2173</v>
      </c>
      <c r="H155" s="2" t="s">
        <v>2174</v>
      </c>
      <c r="I155" s="2" t="s">
        <v>1577</v>
      </c>
    </row>
    <row r="156" spans="1:9" ht="110.25">
      <c r="A156" s="2">
        <v>161</v>
      </c>
      <c r="B156" s="2" t="s">
        <v>122</v>
      </c>
      <c r="C156" s="2" t="s">
        <v>2175</v>
      </c>
      <c r="D156" s="2" t="s">
        <v>1719</v>
      </c>
      <c r="E156" s="2" t="s">
        <v>2176</v>
      </c>
      <c r="F156" s="2" t="s">
        <v>1557</v>
      </c>
      <c r="G156" s="2" t="s">
        <v>2177</v>
      </c>
      <c r="H156" s="2" t="s">
        <v>2178</v>
      </c>
      <c r="I156" s="2" t="s">
        <v>1577</v>
      </c>
    </row>
    <row r="158" spans="1:9">
      <c r="A158" s="2"/>
      <c r="B158" s="2"/>
      <c r="C158" s="2"/>
      <c r="D158" s="2"/>
      <c r="E158" s="2"/>
      <c r="F158" s="2"/>
      <c r="G158" s="2"/>
      <c r="H158" s="2"/>
      <c r="I158" s="2"/>
    </row>
    <row r="159" spans="1:9">
      <c r="A159" s="2"/>
      <c r="B159" s="2"/>
      <c r="C159" s="2"/>
      <c r="D159" s="2"/>
      <c r="E159" s="2"/>
      <c r="F159" s="2"/>
      <c r="G159" s="2"/>
      <c r="H159" s="2"/>
      <c r="I159" s="2"/>
    </row>
    <row r="160" spans="1:9">
      <c r="A160" s="2"/>
      <c r="B160" s="2"/>
      <c r="C160" s="50"/>
      <c r="D160" s="2"/>
      <c r="E160" s="2"/>
      <c r="F160" s="2"/>
      <c r="G160" s="2"/>
      <c r="H160" s="2"/>
      <c r="I160" s="2"/>
    </row>
    <row r="161" spans="1:9">
      <c r="A161" s="2"/>
      <c r="B161" s="50"/>
      <c r="C161" s="50"/>
      <c r="D161" s="2"/>
      <c r="E161" s="2"/>
      <c r="F161" s="50"/>
      <c r="G161" s="2"/>
      <c r="H161" s="2"/>
      <c r="I161" s="2"/>
    </row>
    <row r="162" spans="1:9">
      <c r="A162" s="2"/>
      <c r="B162" s="50"/>
      <c r="C162" s="50"/>
      <c r="D162" s="2"/>
      <c r="E162" s="2"/>
      <c r="F162" s="2"/>
      <c r="G162" s="2"/>
      <c r="H162" s="2"/>
      <c r="I162" s="2"/>
    </row>
    <row r="163" spans="1:9">
      <c r="A163" s="2"/>
      <c r="B163" s="50"/>
      <c r="C163" s="50"/>
      <c r="D163" s="2"/>
      <c r="E163" s="2"/>
      <c r="F163" s="2"/>
      <c r="G163" s="2"/>
      <c r="H163" s="2"/>
      <c r="I163" s="2"/>
    </row>
    <row r="164" spans="1:9">
      <c r="A164" s="2"/>
      <c r="B164" s="2"/>
      <c r="C164" s="2"/>
      <c r="D164" s="2"/>
      <c r="E164" s="2"/>
      <c r="F164" s="2"/>
      <c r="G164" s="2"/>
      <c r="H164" s="2"/>
      <c r="I164" s="2"/>
    </row>
    <row r="165" spans="1:9">
      <c r="A165" s="2"/>
      <c r="B165" s="2"/>
      <c r="C165" s="2"/>
      <c r="D165" s="2"/>
      <c r="E165" s="2"/>
      <c r="F165" s="2"/>
      <c r="G165" s="2"/>
      <c r="H165" s="2"/>
      <c r="I165" s="2"/>
    </row>
  </sheetData>
  <mergeCells count="3">
    <mergeCell ref="A1:I1"/>
    <mergeCell ref="A2:I2"/>
    <mergeCell ref="A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2999-5E71-4A74-9930-EE1235960C43}">
  <dimension ref="A1:K60"/>
  <sheetViews>
    <sheetView topLeftCell="A8" workbookViewId="0">
      <selection activeCell="K6" sqref="K6"/>
    </sheetView>
  </sheetViews>
  <sheetFormatPr defaultColWidth="9.140625" defaultRowHeight="15"/>
  <cols>
    <col min="1" max="1" width="15.7109375" customWidth="1"/>
    <col min="2" max="2" width="26.28515625" customWidth="1"/>
    <col min="3" max="3" width="28.7109375" customWidth="1"/>
    <col min="4" max="4" width="47" customWidth="1"/>
    <col min="5" max="5" width="51.28515625" customWidth="1"/>
    <col min="6" max="6" width="57.7109375" customWidth="1"/>
    <col min="7" max="7" width="25" customWidth="1"/>
    <col min="8" max="8" width="15" customWidth="1"/>
    <col min="9" max="9" width="21.5703125" customWidth="1"/>
    <col min="11" max="11" width="55.7109375" customWidth="1"/>
  </cols>
  <sheetData>
    <row r="1" spans="1:11" ht="16.899999999999999" customHeight="1">
      <c r="A1" s="71" t="s">
        <v>2179</v>
      </c>
      <c r="B1" s="71"/>
      <c r="C1" s="71"/>
      <c r="D1" s="71"/>
      <c r="E1" s="71"/>
      <c r="F1" s="71"/>
      <c r="G1" s="71"/>
      <c r="H1" s="71"/>
      <c r="I1" s="71"/>
      <c r="J1" s="71"/>
      <c r="K1" s="71"/>
    </row>
    <row r="2" spans="1:11" ht="22.9" customHeight="1">
      <c r="A2" s="72" t="s">
        <v>2180</v>
      </c>
      <c r="B2" s="72"/>
      <c r="C2" s="72"/>
      <c r="D2" s="72"/>
      <c r="E2" s="72"/>
      <c r="F2" s="72"/>
      <c r="G2" s="72"/>
      <c r="H2" s="72"/>
      <c r="I2" s="72"/>
      <c r="J2" s="72"/>
      <c r="K2" s="72"/>
    </row>
    <row r="3" spans="1:11" ht="45.6" customHeight="1">
      <c r="A3" s="74" t="s">
        <v>2181</v>
      </c>
      <c r="B3" s="74"/>
      <c r="C3" s="74"/>
      <c r="D3" s="74"/>
      <c r="E3" s="74"/>
      <c r="F3" s="74"/>
      <c r="G3" s="74"/>
      <c r="H3" s="74"/>
      <c r="I3" s="74"/>
      <c r="J3" s="74"/>
      <c r="K3" s="74"/>
    </row>
    <row r="4" spans="1:11">
      <c r="A4" s="30"/>
      <c r="B4" s="36"/>
      <c r="C4" s="36"/>
      <c r="D4" s="36"/>
      <c r="E4" s="36"/>
      <c r="F4" s="36"/>
      <c r="G4" s="36"/>
      <c r="H4" s="36"/>
      <c r="I4" s="36"/>
      <c r="J4" s="36"/>
      <c r="K4" s="36"/>
    </row>
    <row r="5" spans="1:11" ht="25.5">
      <c r="A5" s="31" t="s">
        <v>2182</v>
      </c>
      <c r="B5" s="31" t="s">
        <v>2183</v>
      </c>
      <c r="C5" s="31" t="s">
        <v>2184</v>
      </c>
      <c r="D5" s="31" t="s">
        <v>2185</v>
      </c>
      <c r="E5" s="31" t="s">
        <v>2186</v>
      </c>
      <c r="F5" s="31" t="s">
        <v>2187</v>
      </c>
      <c r="G5" s="31" t="s">
        <v>2188</v>
      </c>
      <c r="H5" s="31" t="s">
        <v>2189</v>
      </c>
      <c r="I5" s="31" t="s">
        <v>2190</v>
      </c>
      <c r="J5" s="31" t="s">
        <v>1566</v>
      </c>
      <c r="K5" s="31" t="s">
        <v>91</v>
      </c>
    </row>
    <row r="6" spans="1:11" ht="176.25" customHeight="1">
      <c r="A6" s="46" t="s">
        <v>2191</v>
      </c>
      <c r="B6" s="47" t="s">
        <v>2192</v>
      </c>
      <c r="C6" s="46" t="s">
        <v>2193</v>
      </c>
      <c r="D6" s="49" t="s">
        <v>2194</v>
      </c>
      <c r="E6" s="49" t="s">
        <v>2195</v>
      </c>
      <c r="F6" s="49" t="s">
        <v>2196</v>
      </c>
      <c r="G6" s="49" t="s">
        <v>2197</v>
      </c>
      <c r="H6" s="2"/>
      <c r="I6" s="48" t="s">
        <v>2198</v>
      </c>
      <c r="J6" s="49" t="s">
        <v>105</v>
      </c>
      <c r="K6" s="2" t="s">
        <v>2199</v>
      </c>
    </row>
    <row r="7" spans="1:11" ht="129.75" customHeight="1">
      <c r="A7" s="46" t="s">
        <v>2200</v>
      </c>
      <c r="B7" s="47" t="s">
        <v>2201</v>
      </c>
      <c r="C7" s="46" t="s">
        <v>2202</v>
      </c>
      <c r="D7" s="49" t="s">
        <v>2203</v>
      </c>
      <c r="E7" s="49" t="s">
        <v>2204</v>
      </c>
      <c r="F7" s="49" t="s">
        <v>2205</v>
      </c>
      <c r="G7" s="49" t="s">
        <v>2197</v>
      </c>
      <c r="H7" s="2"/>
      <c r="I7" s="48" t="s">
        <v>2198</v>
      </c>
      <c r="J7" s="49" t="s">
        <v>111</v>
      </c>
      <c r="K7" s="2" t="s">
        <v>2206</v>
      </c>
    </row>
    <row r="8" spans="1:11" ht="121.5" customHeight="1">
      <c r="A8" s="46" t="s">
        <v>2207</v>
      </c>
      <c r="B8" s="47" t="s">
        <v>1551</v>
      </c>
      <c r="C8" s="46" t="s">
        <v>2208</v>
      </c>
      <c r="D8" s="49" t="s">
        <v>2209</v>
      </c>
      <c r="E8" s="49" t="s">
        <v>2210</v>
      </c>
      <c r="F8" s="49" t="s">
        <v>2211</v>
      </c>
      <c r="G8" s="49" t="s">
        <v>2212</v>
      </c>
      <c r="H8" s="2"/>
      <c r="I8" s="48" t="s">
        <v>2198</v>
      </c>
      <c r="J8" s="49" t="s">
        <v>122</v>
      </c>
      <c r="K8" s="2" t="s">
        <v>2213</v>
      </c>
    </row>
    <row r="9" spans="1:11" ht="114.75" customHeight="1">
      <c r="A9" s="46" t="s">
        <v>2214</v>
      </c>
      <c r="B9" s="47" t="s">
        <v>2215</v>
      </c>
      <c r="C9" s="46" t="s">
        <v>2216</v>
      </c>
      <c r="D9" s="49" t="s">
        <v>2217</v>
      </c>
      <c r="E9" s="49" t="s">
        <v>2218</v>
      </c>
      <c r="F9" s="49" t="s">
        <v>2219</v>
      </c>
      <c r="G9" s="49" t="s">
        <v>2220</v>
      </c>
      <c r="H9" s="50"/>
      <c r="I9" s="49" t="s">
        <v>2221</v>
      </c>
      <c r="J9" s="49" t="s">
        <v>2222</v>
      </c>
      <c r="K9" s="2" t="s">
        <v>2223</v>
      </c>
    </row>
    <row r="10" spans="1:11" ht="108.75" customHeight="1">
      <c r="A10" s="46" t="s">
        <v>2224</v>
      </c>
      <c r="B10" s="47" t="s">
        <v>2225</v>
      </c>
      <c r="C10" s="46" t="s">
        <v>2226</v>
      </c>
      <c r="D10" s="49" t="s">
        <v>2227</v>
      </c>
      <c r="E10" s="49" t="s">
        <v>2228</v>
      </c>
      <c r="F10" s="49" t="s">
        <v>2229</v>
      </c>
      <c r="G10" s="49" t="s">
        <v>2212</v>
      </c>
      <c r="H10" s="50"/>
      <c r="I10" s="49" t="s">
        <v>2198</v>
      </c>
      <c r="J10" s="49" t="s">
        <v>116</v>
      </c>
      <c r="K10" s="50" t="s">
        <v>2230</v>
      </c>
    </row>
    <row r="11" spans="1:11" ht="195" customHeight="1">
      <c r="A11" s="46" t="s">
        <v>2231</v>
      </c>
      <c r="B11" s="46" t="s">
        <v>1303</v>
      </c>
      <c r="C11" s="46" t="s">
        <v>2232</v>
      </c>
      <c r="D11" s="49" t="s">
        <v>2233</v>
      </c>
      <c r="E11" s="49" t="s">
        <v>2234</v>
      </c>
      <c r="F11" s="49" t="s">
        <v>2235</v>
      </c>
      <c r="G11" s="49" t="s">
        <v>2197</v>
      </c>
      <c r="H11" s="50"/>
      <c r="I11" s="49" t="s">
        <v>2198</v>
      </c>
      <c r="J11" s="49" t="s">
        <v>111</v>
      </c>
      <c r="K11" s="50" t="s">
        <v>2236</v>
      </c>
    </row>
    <row r="12" spans="1:11" ht="14.45" customHeight="1">
      <c r="A12" s="41"/>
      <c r="B12" s="41"/>
      <c r="C12" s="44"/>
      <c r="D12" s="33"/>
      <c r="E12" s="44"/>
      <c r="F12" s="33"/>
      <c r="G12" s="33"/>
      <c r="H12" s="33"/>
      <c r="I12" s="44"/>
      <c r="J12" s="33"/>
      <c r="K12" s="33"/>
    </row>
    <row r="13" spans="1:11" ht="14.45" customHeight="1">
      <c r="A13" s="41"/>
      <c r="B13" s="41"/>
      <c r="C13" s="44"/>
      <c r="D13" s="33"/>
      <c r="E13" s="44"/>
      <c r="F13" s="33"/>
      <c r="G13" s="33"/>
      <c r="H13" s="33"/>
      <c r="I13" s="44"/>
      <c r="J13" s="33"/>
      <c r="K13" s="33"/>
    </row>
    <row r="14" spans="1:11" ht="14.45" customHeight="1">
      <c r="A14" s="41"/>
      <c r="B14" s="41"/>
      <c r="C14" s="44"/>
      <c r="D14" s="33"/>
      <c r="E14" s="44"/>
      <c r="F14" s="33"/>
      <c r="G14" s="33"/>
      <c r="H14" s="33"/>
      <c r="I14" s="44"/>
      <c r="J14" s="33"/>
      <c r="K14" s="33"/>
    </row>
    <row r="15" spans="1:11" ht="14.45" customHeight="1">
      <c r="A15" s="41"/>
      <c r="B15" s="41"/>
      <c r="C15" s="44"/>
      <c r="D15" s="33"/>
      <c r="E15" s="44"/>
      <c r="F15" s="33"/>
      <c r="G15" s="33"/>
      <c r="H15" s="33"/>
      <c r="I15" s="44"/>
      <c r="J15" s="33"/>
      <c r="K15" s="33"/>
    </row>
    <row r="16" spans="1:11" ht="14.45" customHeight="1">
      <c r="A16" s="41"/>
      <c r="B16" s="41"/>
      <c r="C16" s="44"/>
      <c r="D16" s="33"/>
      <c r="E16" s="44"/>
      <c r="F16" s="33"/>
      <c r="G16" s="33"/>
      <c r="H16" s="33"/>
      <c r="I16" s="44"/>
      <c r="J16" s="33"/>
      <c r="K16" s="33"/>
    </row>
    <row r="17" spans="1:11" ht="14.45" customHeight="1">
      <c r="A17" s="41"/>
      <c r="B17" s="41"/>
      <c r="C17" s="44"/>
      <c r="D17" s="33"/>
      <c r="E17" s="44"/>
      <c r="F17" s="33"/>
      <c r="G17" s="33"/>
      <c r="H17" s="33"/>
      <c r="I17" s="44"/>
      <c r="J17" s="33"/>
      <c r="K17" s="33"/>
    </row>
    <row r="18" spans="1:11" ht="14.45" customHeight="1">
      <c r="A18" s="41"/>
      <c r="B18" s="41"/>
      <c r="C18" s="44"/>
      <c r="D18" s="33"/>
      <c r="E18" s="44"/>
      <c r="F18" s="33"/>
      <c r="G18" s="33"/>
      <c r="H18" s="33"/>
      <c r="I18" s="44"/>
      <c r="J18" s="33"/>
      <c r="K18" s="33"/>
    </row>
    <row r="19" spans="1:11" ht="14.45" customHeight="1">
      <c r="A19" s="41"/>
      <c r="B19" s="41"/>
      <c r="C19" s="44"/>
      <c r="D19" s="33"/>
      <c r="E19" s="44"/>
      <c r="F19" s="33"/>
      <c r="G19" s="33"/>
      <c r="H19" s="33"/>
      <c r="I19" s="44"/>
      <c r="J19" s="33"/>
      <c r="K19" s="33"/>
    </row>
    <row r="20" spans="1:11" ht="14.45" customHeight="1">
      <c r="A20" s="41"/>
      <c r="B20" s="41"/>
      <c r="C20" s="44"/>
      <c r="D20" s="33"/>
      <c r="E20" s="44"/>
      <c r="F20" s="33"/>
      <c r="G20" s="33"/>
      <c r="H20" s="33"/>
      <c r="I20" s="44"/>
      <c r="J20" s="33"/>
      <c r="K20" s="33"/>
    </row>
    <row r="21" spans="1:11" ht="14.45" customHeight="1">
      <c r="A21" s="41"/>
      <c r="B21" s="42"/>
      <c r="C21" s="45"/>
      <c r="D21" s="34"/>
      <c r="E21" s="45"/>
      <c r="F21" s="34"/>
      <c r="G21" s="34"/>
      <c r="H21" s="34"/>
      <c r="I21" s="45"/>
      <c r="J21" s="34"/>
      <c r="K21" s="34"/>
    </row>
    <row r="22" spans="1:11">
      <c r="A22" s="41"/>
      <c r="B22" s="40"/>
      <c r="C22" s="43"/>
      <c r="D22" s="32"/>
      <c r="E22" s="43"/>
      <c r="F22" s="32"/>
      <c r="G22" s="32"/>
      <c r="H22" s="32"/>
      <c r="I22" s="43"/>
      <c r="J22" s="32"/>
      <c r="K22" s="32"/>
    </row>
    <row r="23" spans="1:11" ht="14.45" customHeight="1">
      <c r="A23" s="41"/>
      <c r="B23" s="41"/>
      <c r="C23" s="44"/>
      <c r="D23" s="33"/>
      <c r="E23" s="44"/>
      <c r="F23" s="33"/>
      <c r="G23" s="33"/>
      <c r="H23" s="33"/>
      <c r="I23" s="44"/>
      <c r="J23" s="33"/>
      <c r="K23" s="33"/>
    </row>
    <row r="24" spans="1:11" ht="14.45" customHeight="1">
      <c r="A24" s="41"/>
      <c r="B24" s="41"/>
      <c r="C24" s="44"/>
      <c r="D24" s="33"/>
      <c r="E24" s="44"/>
      <c r="F24" s="33"/>
      <c r="G24" s="33"/>
      <c r="H24" s="33"/>
      <c r="I24" s="44"/>
      <c r="J24" s="33"/>
      <c r="K24" s="33"/>
    </row>
    <row r="25" spans="1:11" ht="14.45" customHeight="1">
      <c r="A25" s="42"/>
      <c r="B25" s="41"/>
      <c r="C25" s="44"/>
      <c r="D25" s="33"/>
      <c r="E25" s="44"/>
      <c r="F25" s="33"/>
      <c r="G25" s="33"/>
      <c r="H25" s="33"/>
      <c r="I25" s="44"/>
      <c r="J25" s="33"/>
      <c r="K25" s="33"/>
    </row>
    <row r="26" spans="1:11" ht="14.45" customHeight="1">
      <c r="A26" s="33"/>
      <c r="B26" s="41"/>
      <c r="C26" s="44"/>
      <c r="D26" s="33"/>
      <c r="E26" s="44"/>
      <c r="F26" s="33"/>
      <c r="G26" s="33"/>
      <c r="H26" s="33"/>
      <c r="I26" s="44"/>
      <c r="J26" s="33"/>
      <c r="K26" s="33"/>
    </row>
    <row r="27" spans="1:11" ht="14.45" customHeight="1">
      <c r="A27" s="33"/>
      <c r="B27" s="41"/>
      <c r="C27" s="44"/>
      <c r="D27" s="33"/>
      <c r="E27" s="44"/>
      <c r="F27" s="33"/>
      <c r="G27" s="33"/>
      <c r="H27" s="33"/>
      <c r="I27" s="44"/>
      <c r="J27" s="33"/>
      <c r="K27" s="33"/>
    </row>
    <row r="28" spans="1:11" ht="14.45" customHeight="1">
      <c r="A28" s="33"/>
      <c r="B28" s="41"/>
      <c r="C28" s="44"/>
      <c r="D28" s="33"/>
      <c r="E28" s="44"/>
      <c r="F28" s="33"/>
      <c r="G28" s="33"/>
      <c r="H28" s="33"/>
      <c r="I28" s="44"/>
      <c r="J28" s="33"/>
      <c r="K28" s="33"/>
    </row>
    <row r="29" spans="1:11" ht="14.45" customHeight="1">
      <c r="A29" s="33"/>
      <c r="B29" s="41"/>
      <c r="C29" s="44"/>
      <c r="D29" s="33"/>
      <c r="E29" s="44"/>
      <c r="F29" s="33"/>
      <c r="G29" s="33"/>
      <c r="H29" s="33"/>
      <c r="I29" s="44"/>
      <c r="J29" s="33"/>
      <c r="K29" s="33"/>
    </row>
    <row r="30" spans="1:11" ht="14.45" customHeight="1">
      <c r="A30" s="33"/>
      <c r="B30" s="41"/>
      <c r="C30" s="44"/>
      <c r="D30" s="33"/>
      <c r="E30" s="44"/>
      <c r="F30" s="33"/>
      <c r="G30" s="33"/>
      <c r="H30" s="33"/>
      <c r="I30" s="44"/>
      <c r="J30" s="33"/>
      <c r="K30" s="33"/>
    </row>
    <row r="31" spans="1:11" ht="14.45" customHeight="1">
      <c r="A31" s="33"/>
      <c r="B31" s="41"/>
      <c r="C31" s="44"/>
      <c r="D31" s="33"/>
      <c r="E31" s="44"/>
      <c r="F31" s="33"/>
      <c r="G31" s="33"/>
      <c r="H31" s="33"/>
      <c r="I31" s="44"/>
      <c r="J31" s="33"/>
      <c r="K31" s="33"/>
    </row>
    <row r="32" spans="1:11" ht="14.45" customHeight="1">
      <c r="A32" s="33"/>
      <c r="B32" s="41"/>
      <c r="C32" s="44"/>
      <c r="D32" s="33"/>
      <c r="E32" s="44"/>
      <c r="F32" s="33"/>
      <c r="G32" s="33"/>
      <c r="H32" s="33"/>
      <c r="I32" s="44"/>
      <c r="J32" s="33"/>
      <c r="K32" s="33"/>
    </row>
    <row r="33" spans="1:11" ht="14.45" customHeight="1">
      <c r="A33" s="33"/>
      <c r="B33" s="41"/>
      <c r="C33" s="44"/>
      <c r="D33" s="33"/>
      <c r="E33" s="44"/>
      <c r="F33" s="33"/>
      <c r="G33" s="33"/>
      <c r="H33" s="33"/>
      <c r="I33" s="44"/>
      <c r="J33" s="33"/>
      <c r="K33" s="33"/>
    </row>
    <row r="34" spans="1:11" ht="14.45" customHeight="1">
      <c r="A34" s="33"/>
      <c r="B34" s="41"/>
      <c r="C34" s="44"/>
      <c r="D34" s="33"/>
      <c r="E34" s="44"/>
      <c r="F34" s="33"/>
      <c r="G34" s="33"/>
      <c r="H34" s="33"/>
      <c r="I34" s="44"/>
      <c r="J34" s="33"/>
      <c r="K34" s="33"/>
    </row>
    <row r="35" spans="1:11" ht="14.45" customHeight="1">
      <c r="A35" s="33"/>
      <c r="B35" s="41"/>
      <c r="C35" s="44"/>
      <c r="D35" s="33"/>
      <c r="E35" s="44"/>
      <c r="F35" s="33"/>
      <c r="G35" s="33"/>
      <c r="H35" s="33"/>
      <c r="I35" s="44"/>
      <c r="J35" s="33"/>
      <c r="K35" s="33"/>
    </row>
    <row r="36" spans="1:11" ht="14.45" customHeight="1">
      <c r="A36" s="33"/>
      <c r="B36" s="41"/>
      <c r="C36" s="44"/>
      <c r="D36" s="33"/>
      <c r="E36" s="44"/>
      <c r="F36" s="33"/>
      <c r="G36" s="33"/>
      <c r="H36" s="33"/>
      <c r="I36" s="44"/>
      <c r="J36" s="33"/>
      <c r="K36" s="33"/>
    </row>
    <row r="37" spans="1:11" ht="14.45" customHeight="1">
      <c r="A37" s="34"/>
      <c r="B37" s="42"/>
      <c r="C37" s="45"/>
      <c r="D37" s="34"/>
      <c r="E37" s="45"/>
      <c r="F37" s="34"/>
      <c r="G37" s="34"/>
      <c r="H37" s="34"/>
      <c r="I37" s="45"/>
      <c r="J37" s="34"/>
      <c r="K37" s="34"/>
    </row>
    <row r="38" spans="1:11">
      <c r="A38" s="35"/>
      <c r="B38" s="37"/>
      <c r="C38" s="38"/>
      <c r="D38" s="35"/>
      <c r="E38" s="38"/>
      <c r="F38" s="35"/>
      <c r="G38" s="35"/>
      <c r="H38" s="35"/>
      <c r="I38" s="38"/>
      <c r="J38" s="35"/>
      <c r="K38" s="35"/>
    </row>
    <row r="39" spans="1:11">
      <c r="A39" s="35"/>
      <c r="B39" s="37"/>
      <c r="C39" s="39"/>
      <c r="D39" s="35"/>
      <c r="E39" s="38"/>
      <c r="F39" s="35"/>
      <c r="G39" s="35"/>
      <c r="H39" s="35"/>
      <c r="I39" s="38"/>
      <c r="J39" s="35"/>
      <c r="K39" s="35"/>
    </row>
    <row r="40" spans="1:11">
      <c r="A40" s="35"/>
      <c r="B40" s="37"/>
      <c r="C40" s="39"/>
      <c r="D40" s="35"/>
      <c r="E40" s="38"/>
      <c r="F40" s="35"/>
      <c r="G40" s="35"/>
      <c r="H40" s="35"/>
      <c r="I40" s="35"/>
      <c r="J40" s="35"/>
      <c r="K40" s="35"/>
    </row>
    <row r="41" spans="1:11">
      <c r="A41" s="75"/>
      <c r="B41" s="75"/>
      <c r="C41" s="75"/>
      <c r="D41" s="32"/>
      <c r="E41" s="78"/>
      <c r="F41" s="32"/>
      <c r="G41" s="75"/>
      <c r="H41" s="75"/>
      <c r="I41" s="75"/>
      <c r="J41" s="75"/>
      <c r="K41" s="75"/>
    </row>
    <row r="42" spans="1:11">
      <c r="A42" s="76"/>
      <c r="B42" s="76"/>
      <c r="C42" s="76"/>
      <c r="D42" s="33"/>
      <c r="E42" s="79"/>
      <c r="F42" s="33"/>
      <c r="G42" s="76"/>
      <c r="H42" s="76"/>
      <c r="I42" s="76"/>
      <c r="J42" s="76"/>
      <c r="K42" s="76"/>
    </row>
    <row r="43" spans="1:11">
      <c r="A43" s="76"/>
      <c r="B43" s="76"/>
      <c r="C43" s="76"/>
      <c r="D43" s="33"/>
      <c r="E43" s="79"/>
      <c r="F43" s="33"/>
      <c r="G43" s="76"/>
      <c r="H43" s="76"/>
      <c r="I43" s="76"/>
      <c r="J43" s="76"/>
      <c r="K43" s="76"/>
    </row>
    <row r="44" spans="1:11">
      <c r="A44" s="76"/>
      <c r="B44" s="76"/>
      <c r="C44" s="76"/>
      <c r="D44" s="33"/>
      <c r="E44" s="79"/>
      <c r="F44" s="33"/>
      <c r="G44" s="76"/>
      <c r="H44" s="76"/>
      <c r="I44" s="76"/>
      <c r="J44" s="76"/>
      <c r="K44" s="76"/>
    </row>
    <row r="45" spans="1:11">
      <c r="A45" s="76"/>
      <c r="B45" s="76"/>
      <c r="C45" s="76"/>
      <c r="D45" s="33"/>
      <c r="E45" s="79"/>
      <c r="F45" s="33"/>
      <c r="G45" s="76"/>
      <c r="H45" s="76"/>
      <c r="I45" s="76"/>
      <c r="J45" s="76"/>
      <c r="K45" s="76"/>
    </row>
    <row r="46" spans="1:11">
      <c r="A46" s="76"/>
      <c r="B46" s="76"/>
      <c r="C46" s="76"/>
      <c r="D46" s="33"/>
      <c r="E46" s="79"/>
      <c r="F46" s="33"/>
      <c r="G46" s="76"/>
      <c r="H46" s="76"/>
      <c r="I46" s="76"/>
      <c r="J46" s="76"/>
      <c r="K46" s="76"/>
    </row>
    <row r="47" spans="1:11">
      <c r="A47" s="76"/>
      <c r="B47" s="76"/>
      <c r="C47" s="76"/>
      <c r="D47" s="33"/>
      <c r="E47" s="79"/>
      <c r="F47" s="33"/>
      <c r="G47" s="76"/>
      <c r="H47" s="76"/>
      <c r="I47" s="76"/>
      <c r="J47" s="76"/>
      <c r="K47" s="76"/>
    </row>
    <row r="48" spans="1:11">
      <c r="A48" s="76"/>
      <c r="B48" s="76"/>
      <c r="C48" s="76"/>
      <c r="D48" s="33"/>
      <c r="E48" s="79"/>
      <c r="F48" s="33"/>
      <c r="G48" s="76"/>
      <c r="H48" s="76"/>
      <c r="I48" s="76"/>
      <c r="J48" s="76"/>
      <c r="K48" s="76"/>
    </row>
    <row r="49" spans="1:11">
      <c r="A49" s="76"/>
      <c r="B49" s="76"/>
      <c r="C49" s="76"/>
      <c r="D49" s="33"/>
      <c r="E49" s="79"/>
      <c r="F49" s="33"/>
      <c r="G49" s="76"/>
      <c r="H49" s="76"/>
      <c r="I49" s="76"/>
      <c r="J49" s="76"/>
      <c r="K49" s="76"/>
    </row>
    <row r="50" spans="1:11">
      <c r="A50" s="76"/>
      <c r="B50" s="76"/>
      <c r="C50" s="76"/>
      <c r="D50" s="33"/>
      <c r="E50" s="79"/>
      <c r="F50" s="33"/>
      <c r="G50" s="76"/>
      <c r="H50" s="76"/>
      <c r="I50" s="76"/>
      <c r="J50" s="76"/>
      <c r="K50" s="76"/>
    </row>
    <row r="51" spans="1:11">
      <c r="A51" s="76"/>
      <c r="B51" s="76"/>
      <c r="C51" s="76"/>
      <c r="D51" s="33"/>
      <c r="E51" s="79"/>
      <c r="F51" s="33"/>
      <c r="G51" s="76"/>
      <c r="H51" s="76"/>
      <c r="I51" s="76"/>
      <c r="J51" s="76"/>
      <c r="K51" s="76"/>
    </row>
    <row r="52" spans="1:11">
      <c r="A52" s="76"/>
      <c r="B52" s="76"/>
      <c r="C52" s="76"/>
      <c r="D52" s="33"/>
      <c r="E52" s="79"/>
      <c r="F52" s="33"/>
      <c r="G52" s="76"/>
      <c r="H52" s="76"/>
      <c r="I52" s="76"/>
      <c r="J52" s="76"/>
      <c r="K52" s="76"/>
    </row>
    <row r="53" spans="1:11">
      <c r="A53" s="76"/>
      <c r="B53" s="76"/>
      <c r="C53" s="76"/>
      <c r="D53" s="33"/>
      <c r="E53" s="79"/>
      <c r="F53" s="33"/>
      <c r="G53" s="76"/>
      <c r="H53" s="76"/>
      <c r="I53" s="76"/>
      <c r="J53" s="76"/>
      <c r="K53" s="76"/>
    </row>
    <row r="54" spans="1:11">
      <c r="A54" s="76"/>
      <c r="B54" s="76"/>
      <c r="C54" s="76"/>
      <c r="D54" s="33"/>
      <c r="E54" s="79"/>
      <c r="F54" s="33"/>
      <c r="G54" s="76"/>
      <c r="H54" s="76"/>
      <c r="I54" s="76"/>
      <c r="J54" s="76"/>
      <c r="K54" s="76"/>
    </row>
    <row r="55" spans="1:11">
      <c r="A55" s="76"/>
      <c r="B55" s="76"/>
      <c r="C55" s="76"/>
      <c r="D55" s="33"/>
      <c r="E55" s="79"/>
      <c r="F55" s="33"/>
      <c r="G55" s="76"/>
      <c r="H55" s="76"/>
      <c r="I55" s="76"/>
      <c r="J55" s="76"/>
      <c r="K55" s="76"/>
    </row>
    <row r="56" spans="1:11">
      <c r="A56" s="76"/>
      <c r="B56" s="76"/>
      <c r="C56" s="76"/>
      <c r="D56" s="33"/>
      <c r="E56" s="79"/>
      <c r="F56" s="33"/>
      <c r="G56" s="76"/>
      <c r="H56" s="76"/>
      <c r="I56" s="76"/>
      <c r="J56" s="76"/>
      <c r="K56" s="76"/>
    </row>
    <row r="57" spans="1:11">
      <c r="A57" s="76"/>
      <c r="B57" s="76"/>
      <c r="C57" s="76"/>
      <c r="D57" s="33"/>
      <c r="E57" s="79"/>
      <c r="F57" s="33"/>
      <c r="G57" s="76"/>
      <c r="H57" s="76"/>
      <c r="I57" s="76"/>
      <c r="J57" s="76"/>
      <c r="K57" s="76"/>
    </row>
    <row r="58" spans="1:11">
      <c r="A58" s="77"/>
      <c r="B58" s="77"/>
      <c r="C58" s="77"/>
      <c r="D58" s="34"/>
      <c r="E58" s="80"/>
      <c r="F58" s="34"/>
      <c r="G58" s="77"/>
      <c r="H58" s="77"/>
      <c r="I58" s="77"/>
      <c r="J58" s="77"/>
      <c r="K58" s="77"/>
    </row>
    <row r="59" spans="1:11">
      <c r="A59" s="36"/>
      <c r="B59" s="36"/>
      <c r="C59" s="36"/>
      <c r="D59" s="36"/>
      <c r="E59" s="36"/>
      <c r="F59" s="36"/>
      <c r="G59" s="36"/>
      <c r="H59" s="36"/>
      <c r="I59" s="36"/>
      <c r="J59" s="36"/>
      <c r="K59" s="36"/>
    </row>
    <row r="60" spans="1:11" ht="22.9" customHeight="1">
      <c r="A60" s="74" t="s">
        <v>2237</v>
      </c>
      <c r="B60" s="74"/>
      <c r="C60" s="74"/>
      <c r="D60" s="74"/>
      <c r="E60" s="74"/>
      <c r="F60" s="74"/>
      <c r="G60" s="74"/>
      <c r="H60" s="74"/>
      <c r="I60" s="74"/>
      <c r="J60" s="74"/>
      <c r="K60" s="74"/>
    </row>
  </sheetData>
  <mergeCells count="13">
    <mergeCell ref="A1:K1"/>
    <mergeCell ref="A2:K2"/>
    <mergeCell ref="A3:K3"/>
    <mergeCell ref="A60:K60"/>
    <mergeCell ref="A41:A58"/>
    <mergeCell ref="B41:B58"/>
    <mergeCell ref="C41:C58"/>
    <mergeCell ref="E41:E58"/>
    <mergeCell ref="G41:G58"/>
    <mergeCell ref="H41:H58"/>
    <mergeCell ref="I41:I58"/>
    <mergeCell ref="J41:J58"/>
    <mergeCell ref="K41:K5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topLeftCell="F1" workbookViewId="0">
      <pane ySplit="5" topLeftCell="A6" activePane="bottomLeft" state="frozen"/>
      <selection pane="bottomLeft" activeCell="D6" sqref="D6"/>
    </sheetView>
  </sheetViews>
  <sheetFormatPr defaultColWidth="9.140625" defaultRowHeight="15"/>
  <cols>
    <col min="1" max="1" width="8" customWidth="1"/>
    <col min="2" max="2" width="16" customWidth="1"/>
    <col min="3" max="3" width="24" customWidth="1"/>
    <col min="4" max="4" width="32" customWidth="1"/>
    <col min="5" max="5" width="25" customWidth="1"/>
    <col min="6" max="6" width="45" customWidth="1"/>
    <col min="7" max="7" width="55" customWidth="1"/>
    <col min="8" max="8" width="45" customWidth="1"/>
    <col min="9" max="9" width="28" customWidth="1"/>
    <col min="10" max="10" width="38" customWidth="1"/>
    <col min="11" max="11" width="28" customWidth="1"/>
  </cols>
  <sheetData>
    <row r="1" spans="1:11" ht="28.15" customHeight="1">
      <c r="A1" s="65" t="s">
        <v>2238</v>
      </c>
      <c r="B1" s="91"/>
      <c r="C1" s="91"/>
      <c r="D1" s="91"/>
      <c r="E1" s="91"/>
      <c r="F1" s="91"/>
      <c r="G1" s="91"/>
      <c r="H1" s="91"/>
      <c r="I1" s="91"/>
      <c r="J1" s="91"/>
      <c r="K1" s="91"/>
    </row>
    <row r="2" spans="1:11" ht="18" customHeight="1">
      <c r="A2" s="64" t="s">
        <v>2239</v>
      </c>
      <c r="B2" s="91"/>
      <c r="C2" s="91"/>
      <c r="D2" s="91"/>
      <c r="E2" s="91"/>
      <c r="F2" s="91"/>
      <c r="G2" s="91"/>
      <c r="H2" s="91"/>
      <c r="I2" s="91"/>
      <c r="J2" s="91"/>
      <c r="K2" s="91"/>
    </row>
    <row r="3" spans="1:11" ht="42" customHeight="1">
      <c r="A3" s="63" t="s">
        <v>2240</v>
      </c>
      <c r="B3" s="91"/>
      <c r="C3" s="91"/>
      <c r="D3" s="91"/>
      <c r="E3" s="91"/>
      <c r="F3" s="91"/>
      <c r="G3" s="91"/>
      <c r="H3" s="91"/>
      <c r="I3" s="91"/>
      <c r="J3" s="91"/>
      <c r="K3" s="91"/>
    </row>
    <row r="4" spans="1:11" ht="42" customHeight="1">
      <c r="A4" s="16"/>
    </row>
    <row r="5" spans="1:11" ht="30" customHeight="1">
      <c r="A5" s="1" t="s">
        <v>2241</v>
      </c>
      <c r="B5" s="1" t="s">
        <v>2242</v>
      </c>
      <c r="C5" s="1" t="s">
        <v>2243</v>
      </c>
      <c r="D5" s="1" t="s">
        <v>2244</v>
      </c>
      <c r="E5" s="1" t="s">
        <v>1566</v>
      </c>
      <c r="F5" s="1" t="s">
        <v>1567</v>
      </c>
      <c r="G5" s="1" t="s">
        <v>1569</v>
      </c>
      <c r="H5" s="1" t="s">
        <v>2245</v>
      </c>
      <c r="I5" s="1" t="s">
        <v>2246</v>
      </c>
      <c r="J5" s="1" t="s">
        <v>2247</v>
      </c>
      <c r="K5" s="1" t="s">
        <v>2248</v>
      </c>
    </row>
    <row r="6" spans="1:11" ht="110.1" customHeight="1">
      <c r="A6" s="2" t="s">
        <v>2249</v>
      </c>
      <c r="B6" s="2" t="s">
        <v>2250</v>
      </c>
      <c r="C6" s="2" t="s">
        <v>2251</v>
      </c>
      <c r="D6" s="2"/>
      <c r="E6" s="2"/>
      <c r="F6" s="2"/>
      <c r="G6" s="2"/>
      <c r="H6" s="2"/>
      <c r="I6" s="2"/>
      <c r="J6" s="2"/>
      <c r="K6" s="2"/>
    </row>
    <row r="7" spans="1:11" ht="110.1" customHeight="1">
      <c r="A7" s="2"/>
      <c r="B7" s="2"/>
      <c r="C7" s="2"/>
      <c r="D7" s="2"/>
      <c r="E7" s="2"/>
      <c r="F7" s="2"/>
      <c r="G7" s="2"/>
      <c r="H7" s="2"/>
      <c r="I7" s="2"/>
      <c r="J7" s="2"/>
      <c r="K7" s="2"/>
    </row>
    <row r="8" spans="1:11" ht="110.1" customHeight="1">
      <c r="A8" s="2"/>
      <c r="B8" s="2"/>
      <c r="C8" s="2"/>
      <c r="D8" s="2"/>
      <c r="E8" s="2"/>
      <c r="F8" s="2"/>
      <c r="G8" s="2"/>
      <c r="H8" s="2"/>
      <c r="I8" s="2"/>
      <c r="J8" s="2"/>
      <c r="K8" s="2"/>
    </row>
    <row r="10" spans="1:11" ht="20.100000000000001" customHeight="1">
      <c r="A10" s="63" t="s">
        <v>2252</v>
      </c>
      <c r="B10" s="91"/>
      <c r="C10" s="91"/>
      <c r="D10" s="91"/>
      <c r="E10" s="91"/>
      <c r="F10" s="91"/>
      <c r="G10" s="91"/>
      <c r="H10" s="91"/>
      <c r="I10" s="91"/>
      <c r="J10" s="91"/>
      <c r="K10" s="91"/>
    </row>
  </sheetData>
  <mergeCells count="4">
    <mergeCell ref="A2:K2"/>
    <mergeCell ref="A1:K1"/>
    <mergeCell ref="A10:K10"/>
    <mergeCell ref="A3:K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zoomScaleNormal="100" workbookViewId="0">
      <pane ySplit="5" topLeftCell="D6" activePane="bottomLeft" state="frozen"/>
      <selection pane="bottomLeft" activeCell="I9" sqref="I9"/>
    </sheetView>
  </sheetViews>
  <sheetFormatPr defaultColWidth="9.140625" defaultRowHeight="15"/>
  <cols>
    <col min="1" max="1" width="7" customWidth="1"/>
    <col min="2" max="2" width="22" customWidth="1"/>
    <col min="3" max="3" width="30" customWidth="1"/>
    <col min="4" max="4" width="28" customWidth="1"/>
    <col min="5" max="5" width="25" customWidth="1"/>
    <col min="6" max="6" width="38" customWidth="1"/>
    <col min="7" max="7" width="42" customWidth="1"/>
    <col min="8" max="8" width="45" customWidth="1"/>
    <col min="9" max="9" width="38" customWidth="1"/>
    <col min="10" max="10" width="55" customWidth="1"/>
    <col min="11" max="11" width="30" customWidth="1"/>
    <col min="12" max="13" width="30.85546875" customWidth="1"/>
  </cols>
  <sheetData>
    <row r="1" spans="1:13" ht="28.15" customHeight="1">
      <c r="A1" s="65" t="s">
        <v>2253</v>
      </c>
      <c r="B1" s="91"/>
      <c r="C1" s="91"/>
      <c r="D1" s="91"/>
      <c r="E1" s="91"/>
      <c r="F1" s="91"/>
      <c r="G1" s="91"/>
      <c r="H1" s="91"/>
      <c r="I1" s="91"/>
      <c r="J1" s="91"/>
      <c r="K1" s="91"/>
      <c r="L1" s="91"/>
    </row>
    <row r="2" spans="1:13" ht="18" customHeight="1">
      <c r="A2" s="64" t="s">
        <v>2254</v>
      </c>
      <c r="B2" s="91"/>
      <c r="C2" s="91"/>
      <c r="D2" s="91"/>
      <c r="E2" s="91"/>
      <c r="F2" s="91"/>
      <c r="G2" s="91"/>
      <c r="H2" s="91"/>
      <c r="I2" s="91"/>
      <c r="J2" s="91"/>
      <c r="K2" s="91"/>
      <c r="L2" s="91"/>
    </row>
    <row r="3" spans="1:13" ht="48" customHeight="1">
      <c r="A3" s="63" t="s">
        <v>2255</v>
      </c>
      <c r="B3" s="91"/>
      <c r="C3" s="91"/>
      <c r="D3" s="91"/>
      <c r="E3" s="91"/>
      <c r="F3" s="91"/>
      <c r="G3" s="91"/>
      <c r="H3" s="91"/>
      <c r="I3" s="91"/>
      <c r="J3" s="91"/>
      <c r="K3" s="91"/>
      <c r="L3" s="91"/>
    </row>
    <row r="4" spans="1:13" ht="13.9" customHeight="1">
      <c r="A4" s="16"/>
    </row>
    <row r="5" spans="1:13" ht="30" customHeight="1">
      <c r="A5" s="1" t="s">
        <v>2256</v>
      </c>
      <c r="B5" s="1" t="s">
        <v>2257</v>
      </c>
      <c r="C5" s="1" t="s">
        <v>2244</v>
      </c>
      <c r="D5" s="1" t="s">
        <v>2258</v>
      </c>
      <c r="E5" s="1" t="s">
        <v>1566</v>
      </c>
      <c r="F5" s="1" t="s">
        <v>2259</v>
      </c>
      <c r="G5" s="1" t="s">
        <v>2260</v>
      </c>
      <c r="H5" s="1" t="s">
        <v>1567</v>
      </c>
      <c r="I5" s="1" t="s">
        <v>2245</v>
      </c>
      <c r="J5" s="1" t="s">
        <v>1569</v>
      </c>
      <c r="K5" s="1" t="s">
        <v>2261</v>
      </c>
      <c r="L5" s="1" t="s">
        <v>2262</v>
      </c>
      <c r="M5" s="1" t="s">
        <v>91</v>
      </c>
    </row>
    <row r="6" spans="1:13" ht="110.1" customHeight="1">
      <c r="A6" s="5" t="s">
        <v>2263</v>
      </c>
      <c r="B6" s="5" t="s">
        <v>2264</v>
      </c>
      <c r="C6" s="5" t="s">
        <v>2265</v>
      </c>
      <c r="D6" s="5" t="s">
        <v>2266</v>
      </c>
      <c r="E6" s="5" t="s">
        <v>2267</v>
      </c>
      <c r="F6" s="5" t="s">
        <v>2268</v>
      </c>
      <c r="G6" s="5" t="s">
        <v>2269</v>
      </c>
      <c r="H6" s="5" t="s">
        <v>2270</v>
      </c>
      <c r="I6" s="5" t="s">
        <v>2271</v>
      </c>
      <c r="J6" s="5" t="s">
        <v>2272</v>
      </c>
      <c r="K6" s="50" t="s">
        <v>2273</v>
      </c>
      <c r="L6" s="5" t="s">
        <v>2274</v>
      </c>
      <c r="M6" s="5" t="s">
        <v>2275</v>
      </c>
    </row>
    <row r="7" spans="1:13" ht="110.1" customHeight="1">
      <c r="A7" s="5" t="s">
        <v>2276</v>
      </c>
      <c r="B7" s="59" t="s">
        <v>2277</v>
      </c>
      <c r="C7" s="59" t="s">
        <v>2278</v>
      </c>
      <c r="D7" s="59" t="s">
        <v>2279</v>
      </c>
      <c r="E7" s="5" t="s">
        <v>2280</v>
      </c>
      <c r="F7" s="5" t="s">
        <v>2281</v>
      </c>
      <c r="G7" s="5" t="s">
        <v>2282</v>
      </c>
      <c r="H7" s="5" t="s">
        <v>2283</v>
      </c>
      <c r="I7" s="5" t="s">
        <v>2284</v>
      </c>
      <c r="J7" s="5" t="s">
        <v>2285</v>
      </c>
      <c r="K7" s="50" t="s">
        <v>2286</v>
      </c>
      <c r="L7" s="5" t="s">
        <v>2287</v>
      </c>
      <c r="M7" s="59" t="s">
        <v>2288</v>
      </c>
    </row>
    <row r="8" spans="1:13" ht="110.1" customHeight="1">
      <c r="A8" s="5" t="s">
        <v>2289</v>
      </c>
      <c r="B8" s="5" t="s">
        <v>2290</v>
      </c>
      <c r="C8" s="5" t="s">
        <v>2290</v>
      </c>
      <c r="D8" s="5" t="s">
        <v>2291</v>
      </c>
      <c r="E8" s="5" t="s">
        <v>2292</v>
      </c>
      <c r="F8" s="5" t="s">
        <v>2293</v>
      </c>
      <c r="G8" s="5" t="s">
        <v>2294</v>
      </c>
      <c r="H8" s="5" t="s">
        <v>2295</v>
      </c>
      <c r="I8" s="5" t="s">
        <v>2284</v>
      </c>
      <c r="J8" s="5" t="s">
        <v>2296</v>
      </c>
      <c r="K8" s="59" t="s">
        <v>2297</v>
      </c>
      <c r="L8" s="5" t="s">
        <v>2274</v>
      </c>
      <c r="M8" s="5" t="s">
        <v>2298</v>
      </c>
    </row>
    <row r="9" spans="1:13" ht="409.6">
      <c r="A9" s="5" t="s">
        <v>2299</v>
      </c>
      <c r="B9" s="5" t="s">
        <v>2300</v>
      </c>
      <c r="C9" s="5" t="s">
        <v>2301</v>
      </c>
      <c r="D9" s="5" t="s">
        <v>2302</v>
      </c>
      <c r="E9" s="5" t="s">
        <v>2303</v>
      </c>
      <c r="F9" s="5" t="s">
        <v>2304</v>
      </c>
      <c r="G9" s="5" t="s">
        <v>2305</v>
      </c>
      <c r="H9" s="5" t="s">
        <v>2306</v>
      </c>
      <c r="I9" s="5" t="s">
        <v>2271</v>
      </c>
      <c r="J9" s="5" t="s">
        <v>2307</v>
      </c>
      <c r="K9" s="59" t="s">
        <v>2308</v>
      </c>
      <c r="L9" s="5" t="s">
        <v>2274</v>
      </c>
      <c r="M9" s="5" t="s">
        <v>2309</v>
      </c>
    </row>
    <row r="10" spans="1:13" ht="20.100000000000001" customHeight="1">
      <c r="A10" s="63" t="s">
        <v>2310</v>
      </c>
      <c r="B10" s="91"/>
      <c r="C10" s="91"/>
      <c r="D10" s="91"/>
      <c r="E10" s="91"/>
      <c r="F10" s="91"/>
      <c r="G10" s="91"/>
      <c r="H10" s="91"/>
      <c r="I10" s="91"/>
      <c r="J10" s="91"/>
      <c r="K10" s="91"/>
      <c r="L10" s="91"/>
    </row>
  </sheetData>
  <mergeCells count="4">
    <mergeCell ref="A3:L3"/>
    <mergeCell ref="A2:L2"/>
    <mergeCell ref="A1:L1"/>
    <mergeCell ref="A10:L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6"/>
  <sheetViews>
    <sheetView topLeftCell="A10" zoomScale="81" zoomScaleNormal="130" workbookViewId="0">
      <selection activeCell="A17" sqref="A17"/>
    </sheetView>
  </sheetViews>
  <sheetFormatPr defaultColWidth="9.140625" defaultRowHeight="15"/>
  <cols>
    <col min="1" max="1" width="30" customWidth="1"/>
    <col min="2" max="2" width="40" customWidth="1"/>
    <col min="6" max="6" width="38" customWidth="1"/>
  </cols>
  <sheetData>
    <row r="1" spans="1:10" ht="28.15" customHeight="1">
      <c r="A1" s="65" t="s">
        <v>2311</v>
      </c>
      <c r="B1" s="91"/>
      <c r="C1" s="91"/>
      <c r="D1" s="91"/>
      <c r="E1" s="91"/>
      <c r="F1" s="91"/>
      <c r="G1" s="91"/>
      <c r="H1" s="91"/>
      <c r="I1" s="91"/>
      <c r="J1" s="91"/>
    </row>
    <row r="2" spans="1:10" ht="18" customHeight="1">
      <c r="A2" s="64" t="s">
        <v>2312</v>
      </c>
      <c r="B2" s="91"/>
      <c r="C2" s="91"/>
      <c r="D2" s="91"/>
      <c r="E2" s="91"/>
      <c r="F2" s="91"/>
      <c r="G2" s="91"/>
      <c r="H2" s="91"/>
      <c r="I2" s="91"/>
      <c r="J2" s="91"/>
    </row>
    <row r="3" spans="1:10" ht="36" customHeight="1">
      <c r="A3" s="63" t="s">
        <v>2313</v>
      </c>
      <c r="B3" s="91"/>
      <c r="C3" s="91"/>
      <c r="D3" s="91"/>
      <c r="E3" s="91"/>
      <c r="F3" s="91"/>
      <c r="G3" s="91"/>
      <c r="H3" s="91"/>
      <c r="I3" s="91"/>
      <c r="J3" s="91"/>
    </row>
    <row r="4" spans="1:10" ht="24" customHeight="1">
      <c r="A4" s="1" t="s">
        <v>2314</v>
      </c>
      <c r="B4" s="84" t="s">
        <v>2315</v>
      </c>
      <c r="C4" s="92"/>
      <c r="D4" s="92"/>
      <c r="E4" s="93"/>
      <c r="F4" s="84"/>
      <c r="G4" s="92"/>
      <c r="H4" s="92"/>
      <c r="I4" s="92"/>
      <c r="J4" s="93"/>
    </row>
    <row r="5" spans="1:10" ht="20.100000000000001" customHeight="1">
      <c r="A5" s="82" t="s">
        <v>2316</v>
      </c>
      <c r="B5" s="91"/>
      <c r="C5" s="91"/>
      <c r="D5" s="91"/>
      <c r="E5" s="91"/>
      <c r="F5" s="91"/>
      <c r="G5" s="91"/>
      <c r="H5" s="91"/>
      <c r="I5" s="91"/>
      <c r="J5" s="91"/>
    </row>
    <row r="6" spans="1:10" ht="22.15" customHeight="1">
      <c r="A6" s="3" t="s">
        <v>20</v>
      </c>
      <c r="B6" s="83" t="s">
        <v>2317</v>
      </c>
      <c r="C6" s="92"/>
      <c r="D6" s="92"/>
      <c r="E6" s="93"/>
      <c r="F6" s="81" t="s">
        <v>2318</v>
      </c>
      <c r="G6" s="92"/>
      <c r="H6" s="92"/>
      <c r="I6" s="92"/>
      <c r="J6" s="93"/>
    </row>
    <row r="7" spans="1:10" ht="22.15" customHeight="1">
      <c r="A7" s="3" t="s">
        <v>2319</v>
      </c>
      <c r="B7" s="83" t="s">
        <v>2320</v>
      </c>
      <c r="C7" s="92"/>
      <c r="D7" s="92"/>
      <c r="E7" s="93"/>
      <c r="F7" s="81" t="s">
        <v>2321</v>
      </c>
      <c r="G7" s="92"/>
      <c r="H7" s="92"/>
      <c r="I7" s="92"/>
      <c r="J7" s="93"/>
    </row>
    <row r="8" spans="1:10" ht="22.15" customHeight="1">
      <c r="A8" s="3" t="s">
        <v>2322</v>
      </c>
      <c r="B8" s="83" t="s">
        <v>2323</v>
      </c>
      <c r="C8" s="92"/>
      <c r="D8" s="92"/>
      <c r="E8" s="93"/>
      <c r="F8" s="81" t="s">
        <v>2324</v>
      </c>
      <c r="G8" s="92"/>
      <c r="H8" s="92"/>
      <c r="I8" s="92"/>
      <c r="J8" s="93"/>
    </row>
    <row r="9" spans="1:10" ht="22.15" customHeight="1">
      <c r="A9" s="3" t="s">
        <v>2325</v>
      </c>
      <c r="B9" s="83" t="s">
        <v>2326</v>
      </c>
      <c r="C9" s="92"/>
      <c r="D9" s="92"/>
      <c r="E9" s="93"/>
      <c r="F9" s="81" t="s">
        <v>2327</v>
      </c>
      <c r="G9" s="92"/>
      <c r="H9" s="92"/>
      <c r="I9" s="92"/>
      <c r="J9" s="93"/>
    </row>
    <row r="10" spans="1:10" ht="22.15" customHeight="1">
      <c r="A10" s="3" t="s">
        <v>2328</v>
      </c>
      <c r="B10" s="83" t="s">
        <v>2329</v>
      </c>
      <c r="C10" s="92"/>
      <c r="D10" s="92"/>
      <c r="E10" s="93"/>
      <c r="F10" s="81" t="s">
        <v>2330</v>
      </c>
      <c r="G10" s="92"/>
      <c r="H10" s="92"/>
      <c r="I10" s="92"/>
      <c r="J10" s="93"/>
    </row>
    <row r="11" spans="1:10" ht="22.15" customHeight="1">
      <c r="A11" s="3" t="s">
        <v>2331</v>
      </c>
      <c r="B11" s="83" t="s">
        <v>2332</v>
      </c>
      <c r="C11" s="92"/>
      <c r="D11" s="92"/>
      <c r="E11" s="93"/>
      <c r="F11" s="81" t="s">
        <v>2333</v>
      </c>
      <c r="G11" s="92"/>
      <c r="H11" s="92"/>
      <c r="I11" s="92"/>
      <c r="J11" s="93"/>
    </row>
    <row r="12" spans="1:10" ht="22.15" customHeight="1">
      <c r="A12" s="3" t="s">
        <v>2334</v>
      </c>
      <c r="B12" s="83" t="s">
        <v>2335</v>
      </c>
      <c r="C12" s="92"/>
      <c r="D12" s="92"/>
      <c r="E12" s="93"/>
      <c r="F12" s="81" t="s">
        <v>2336</v>
      </c>
      <c r="G12" s="92"/>
      <c r="H12" s="92"/>
      <c r="I12" s="92"/>
      <c r="J12" s="93"/>
    </row>
    <row r="13" spans="1:10" ht="22.15" customHeight="1">
      <c r="A13" s="3" t="s">
        <v>2337</v>
      </c>
      <c r="B13" s="83">
        <v>2026</v>
      </c>
      <c r="C13" s="92"/>
      <c r="D13" s="92"/>
      <c r="E13" s="93"/>
      <c r="F13" s="81" t="s">
        <v>2338</v>
      </c>
      <c r="G13" s="92"/>
      <c r="H13" s="92"/>
      <c r="I13" s="92"/>
      <c r="J13" s="93"/>
    </row>
    <row r="14" spans="1:10" ht="22.15" customHeight="1">
      <c r="A14" s="3" t="s">
        <v>2339</v>
      </c>
      <c r="B14" s="88">
        <v>6</v>
      </c>
      <c r="C14" s="94"/>
      <c r="D14" s="94"/>
      <c r="E14" s="95"/>
      <c r="F14" s="81" t="s">
        <v>2340</v>
      </c>
      <c r="G14" s="92"/>
      <c r="H14" s="92"/>
      <c r="I14" s="92"/>
      <c r="J14" s="93"/>
    </row>
    <row r="16" spans="1:10" ht="20.100000000000001" customHeight="1">
      <c r="A16" s="82" t="s">
        <v>2341</v>
      </c>
      <c r="B16" s="91"/>
      <c r="C16" s="91"/>
      <c r="D16" s="91"/>
      <c r="E16" s="91"/>
      <c r="F16" s="91"/>
      <c r="G16" s="91"/>
      <c r="H16" s="91"/>
      <c r="I16" s="91"/>
      <c r="J16" s="91"/>
    </row>
    <row r="17" spans="1:10" ht="22.15" customHeight="1">
      <c r="A17" s="3" t="s">
        <v>2342</v>
      </c>
      <c r="B17" s="83" t="s">
        <v>1187</v>
      </c>
      <c r="C17" s="92"/>
      <c r="D17" s="92"/>
      <c r="E17" s="93"/>
      <c r="F17" s="81" t="s">
        <v>2343</v>
      </c>
      <c r="G17" s="92"/>
      <c r="H17" s="92"/>
      <c r="I17" s="92"/>
      <c r="J17" s="93"/>
    </row>
    <row r="18" spans="1:10" ht="22.15" customHeight="1">
      <c r="A18" s="3" t="s">
        <v>2344</v>
      </c>
      <c r="B18" s="85" t="s">
        <v>2345</v>
      </c>
      <c r="C18" s="86"/>
      <c r="D18" s="86"/>
      <c r="E18" s="87"/>
      <c r="F18" s="81" t="s">
        <v>2346</v>
      </c>
      <c r="G18" s="92"/>
      <c r="H18" s="92"/>
      <c r="I18" s="92"/>
      <c r="J18" s="93"/>
    </row>
    <row r="19" spans="1:10" ht="22.15" customHeight="1">
      <c r="A19" s="3" t="s">
        <v>2347</v>
      </c>
      <c r="B19" s="83" t="s">
        <v>2348</v>
      </c>
      <c r="C19" s="92"/>
      <c r="D19" s="92"/>
      <c r="E19" s="93"/>
      <c r="F19" s="81" t="s">
        <v>2349</v>
      </c>
      <c r="G19" s="92"/>
      <c r="H19" s="92"/>
      <c r="I19" s="92"/>
      <c r="J19" s="93"/>
    </row>
    <row r="20" spans="1:10" ht="22.15" customHeight="1">
      <c r="A20" s="3" t="s">
        <v>2350</v>
      </c>
      <c r="B20" s="83" t="s">
        <v>2351</v>
      </c>
      <c r="C20" s="92"/>
      <c r="D20" s="92"/>
      <c r="E20" s="93"/>
      <c r="F20" s="81" t="s">
        <v>2352</v>
      </c>
      <c r="G20" s="92"/>
      <c r="H20" s="92"/>
      <c r="I20" s="92"/>
      <c r="J20" s="93"/>
    </row>
    <row r="22" spans="1:10" ht="20.100000000000001" customHeight="1">
      <c r="A22" s="82" t="s">
        <v>2353</v>
      </c>
      <c r="B22" s="91"/>
      <c r="C22" s="91"/>
      <c r="D22" s="91"/>
      <c r="E22" s="91"/>
      <c r="F22" s="91"/>
      <c r="G22" s="91"/>
      <c r="H22" s="91"/>
      <c r="I22" s="91"/>
      <c r="J22" s="91"/>
    </row>
    <row r="23" spans="1:10" ht="22.15" customHeight="1">
      <c r="A23" s="3" t="s">
        <v>2354</v>
      </c>
      <c r="B23" s="83" t="s">
        <v>2355</v>
      </c>
      <c r="C23" s="92"/>
      <c r="D23" s="92"/>
      <c r="E23" s="93"/>
      <c r="F23" s="81" t="s">
        <v>2356</v>
      </c>
      <c r="G23" s="92"/>
      <c r="H23" s="92"/>
      <c r="I23" s="92"/>
      <c r="J23" s="93"/>
    </row>
    <row r="24" spans="1:10" ht="22.15" customHeight="1">
      <c r="A24" s="3" t="s">
        <v>2357</v>
      </c>
      <c r="B24" s="83" t="s">
        <v>2358</v>
      </c>
      <c r="C24" s="92"/>
      <c r="D24" s="92"/>
      <c r="E24" s="93"/>
      <c r="F24" s="81" t="s">
        <v>2359</v>
      </c>
      <c r="G24" s="92"/>
      <c r="H24" s="92"/>
      <c r="I24" s="92"/>
      <c r="J24" s="93"/>
    </row>
    <row r="25" spans="1:10" ht="22.15" customHeight="1">
      <c r="A25" s="3" t="s">
        <v>2360</v>
      </c>
      <c r="B25" s="83" t="s">
        <v>2361</v>
      </c>
      <c r="C25" s="92"/>
      <c r="D25" s="92"/>
      <c r="E25" s="93"/>
      <c r="F25" s="81" t="s">
        <v>2362</v>
      </c>
      <c r="G25" s="92"/>
      <c r="H25" s="92"/>
      <c r="I25" s="92"/>
      <c r="J25" s="93"/>
    </row>
    <row r="26" spans="1:10" ht="22.15" customHeight="1">
      <c r="A26" s="3" t="s">
        <v>2363</v>
      </c>
      <c r="B26" s="83" t="s">
        <v>2364</v>
      </c>
      <c r="C26" s="92"/>
      <c r="D26" s="92"/>
      <c r="E26" s="93"/>
      <c r="F26" s="81" t="s">
        <v>2365</v>
      </c>
      <c r="G26" s="92"/>
      <c r="H26" s="92"/>
      <c r="I26" s="92"/>
      <c r="J26" s="93"/>
    </row>
    <row r="27" spans="1:10" ht="22.15" customHeight="1">
      <c r="A27" s="3" t="s">
        <v>2366</v>
      </c>
      <c r="B27" s="83" t="s">
        <v>2367</v>
      </c>
      <c r="C27" s="92"/>
      <c r="D27" s="92"/>
      <c r="E27" s="93"/>
      <c r="F27" s="81" t="s">
        <v>2368</v>
      </c>
      <c r="G27" s="92"/>
      <c r="H27" s="92"/>
      <c r="I27" s="92"/>
      <c r="J27" s="93"/>
    </row>
    <row r="28" spans="1:10" ht="22.15" customHeight="1">
      <c r="A28" s="3" t="s">
        <v>2369</v>
      </c>
      <c r="B28" s="83" t="s">
        <v>2370</v>
      </c>
      <c r="C28" s="92"/>
      <c r="D28" s="92"/>
      <c r="E28" s="93"/>
      <c r="F28" s="81" t="s">
        <v>2371</v>
      </c>
      <c r="G28" s="92"/>
      <c r="H28" s="92"/>
      <c r="I28" s="92"/>
      <c r="J28" s="93"/>
    </row>
    <row r="30" spans="1:10" ht="20.100000000000001" customHeight="1">
      <c r="A30" s="82" t="s">
        <v>2372</v>
      </c>
      <c r="B30" s="91"/>
      <c r="C30" s="91"/>
      <c r="D30" s="91"/>
      <c r="E30" s="91"/>
      <c r="F30" s="91"/>
      <c r="G30" s="91"/>
      <c r="H30" s="91"/>
      <c r="I30" s="91"/>
      <c r="J30" s="91"/>
    </row>
    <row r="31" spans="1:10" ht="22.15" customHeight="1">
      <c r="A31" s="3" t="s">
        <v>2373</v>
      </c>
      <c r="B31" s="83" t="s">
        <v>2374</v>
      </c>
      <c r="C31" s="92"/>
      <c r="D31" s="92"/>
      <c r="E31" s="93"/>
      <c r="F31" s="81" t="s">
        <v>2375</v>
      </c>
      <c r="G31" s="92"/>
      <c r="H31" s="92"/>
      <c r="I31" s="92"/>
      <c r="J31" s="93"/>
    </row>
    <row r="32" spans="1:10" ht="22.15" customHeight="1">
      <c r="A32" s="3" t="s">
        <v>2376</v>
      </c>
      <c r="B32" s="83" t="s">
        <v>2377</v>
      </c>
      <c r="C32" s="92"/>
      <c r="D32" s="92"/>
      <c r="E32" s="93"/>
      <c r="F32" s="81" t="s">
        <v>2378</v>
      </c>
      <c r="G32" s="92"/>
      <c r="H32" s="92"/>
      <c r="I32" s="92"/>
      <c r="J32" s="93"/>
    </row>
    <row r="33" spans="1:10" ht="22.15" customHeight="1">
      <c r="A33" s="3" t="s">
        <v>2379</v>
      </c>
      <c r="B33" s="83" t="s">
        <v>2380</v>
      </c>
      <c r="C33" s="92"/>
      <c r="D33" s="92"/>
      <c r="E33" s="93"/>
      <c r="F33" s="81" t="s">
        <v>2381</v>
      </c>
      <c r="G33" s="92"/>
      <c r="H33" s="92"/>
      <c r="I33" s="92"/>
      <c r="J33" s="93"/>
    </row>
    <row r="34" spans="1:10" ht="22.15" customHeight="1">
      <c r="A34" s="3" t="s">
        <v>2382</v>
      </c>
      <c r="B34" s="83" t="s">
        <v>2383</v>
      </c>
      <c r="C34" s="92"/>
      <c r="D34" s="92"/>
      <c r="E34" s="93"/>
      <c r="F34" s="81" t="s">
        <v>2384</v>
      </c>
      <c r="G34" s="92"/>
      <c r="H34" s="92"/>
      <c r="I34" s="92"/>
      <c r="J34" s="93"/>
    </row>
    <row r="35" spans="1:10" ht="22.15" customHeight="1">
      <c r="A35" s="3" t="s">
        <v>2385</v>
      </c>
      <c r="B35" s="83" t="s">
        <v>2386</v>
      </c>
      <c r="C35" s="92"/>
      <c r="D35" s="92"/>
      <c r="E35" s="93"/>
      <c r="F35" s="81" t="s">
        <v>2387</v>
      </c>
      <c r="G35" s="92"/>
      <c r="H35" s="92"/>
      <c r="I35" s="92"/>
      <c r="J35" s="93"/>
    </row>
    <row r="36" spans="1:10" ht="22.15" customHeight="1">
      <c r="A36" s="3" t="s">
        <v>2388</v>
      </c>
      <c r="B36" s="83" t="s">
        <v>2389</v>
      </c>
      <c r="C36" s="92"/>
      <c r="D36" s="92"/>
      <c r="E36" s="93"/>
      <c r="F36" s="81" t="s">
        <v>2390</v>
      </c>
      <c r="G36" s="92"/>
      <c r="H36" s="92"/>
      <c r="I36" s="92"/>
      <c r="J36" s="93"/>
    </row>
  </sheetData>
  <mergeCells count="59">
    <mergeCell ref="B36:E36"/>
    <mergeCell ref="B32:E32"/>
    <mergeCell ref="F7:J7"/>
    <mergeCell ref="B26:E26"/>
    <mergeCell ref="B35:E35"/>
    <mergeCell ref="F36:J36"/>
    <mergeCell ref="F33:J33"/>
    <mergeCell ref="F32:J32"/>
    <mergeCell ref="F35:J35"/>
    <mergeCell ref="B31:E31"/>
    <mergeCell ref="F31:J31"/>
    <mergeCell ref="B34:E34"/>
    <mergeCell ref="B9:E9"/>
    <mergeCell ref="F11:J11"/>
    <mergeCell ref="F34:J34"/>
    <mergeCell ref="A30:J30"/>
    <mergeCell ref="F28:J28"/>
    <mergeCell ref="B33:E33"/>
    <mergeCell ref="B24:E24"/>
    <mergeCell ref="F26:J26"/>
    <mergeCell ref="B27:E27"/>
    <mergeCell ref="F27:J27"/>
    <mergeCell ref="B28:E28"/>
    <mergeCell ref="F24:J24"/>
    <mergeCell ref="B25:E25"/>
    <mergeCell ref="F25:J25"/>
    <mergeCell ref="A1:J1"/>
    <mergeCell ref="B18:E18"/>
    <mergeCell ref="B12:E12"/>
    <mergeCell ref="F23:J23"/>
    <mergeCell ref="B11:E11"/>
    <mergeCell ref="A16:J16"/>
    <mergeCell ref="F13:J13"/>
    <mergeCell ref="B14:E14"/>
    <mergeCell ref="F9:J9"/>
    <mergeCell ref="B17:E17"/>
    <mergeCell ref="B23:E23"/>
    <mergeCell ref="B8:E8"/>
    <mergeCell ref="A22:J22"/>
    <mergeCell ref="F6:J6"/>
    <mergeCell ref="B20:E20"/>
    <mergeCell ref="A3:J3"/>
    <mergeCell ref="A2:J2"/>
    <mergeCell ref="B10:E10"/>
    <mergeCell ref="F4:J4"/>
    <mergeCell ref="B4:E4"/>
    <mergeCell ref="F12:J12"/>
    <mergeCell ref="F10:J10"/>
    <mergeCell ref="F20:J20"/>
    <mergeCell ref="A5:J5"/>
    <mergeCell ref="B6:E6"/>
    <mergeCell ref="B7:E7"/>
    <mergeCell ref="F18:J18"/>
    <mergeCell ref="F8:J8"/>
    <mergeCell ref="F14:J14"/>
    <mergeCell ref="B13:E13"/>
    <mergeCell ref="B19:E19"/>
    <mergeCell ref="F17:J17"/>
    <mergeCell ref="F19:J1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topLeftCell="A4" zoomScale="80" zoomScaleNormal="80" workbookViewId="0">
      <selection activeCell="B14" sqref="B14:H14"/>
    </sheetView>
  </sheetViews>
  <sheetFormatPr defaultColWidth="9.140625" defaultRowHeight="15"/>
  <cols>
    <col min="1" max="1" width="28" customWidth="1"/>
    <col min="2" max="2" width="80" customWidth="1"/>
  </cols>
  <sheetData>
    <row r="1" spans="1:8" ht="28.15" customHeight="1">
      <c r="A1" s="65" t="s">
        <v>2391</v>
      </c>
      <c r="B1" s="91"/>
      <c r="C1" s="91"/>
      <c r="D1" s="91"/>
      <c r="E1" s="91"/>
      <c r="F1" s="91"/>
      <c r="G1" s="91"/>
      <c r="H1" s="91"/>
    </row>
    <row r="2" spans="1:8" ht="18" customHeight="1">
      <c r="A2" s="64" t="s">
        <v>2392</v>
      </c>
      <c r="B2" s="91"/>
      <c r="C2" s="91"/>
      <c r="D2" s="91"/>
      <c r="E2" s="91"/>
      <c r="F2" s="91"/>
      <c r="G2" s="91"/>
      <c r="H2" s="91"/>
    </row>
    <row r="3" spans="1:8" ht="36" customHeight="1">
      <c r="A3" s="63" t="s">
        <v>2393</v>
      </c>
      <c r="B3" s="91"/>
      <c r="C3" s="91"/>
      <c r="D3" s="91"/>
      <c r="E3" s="91"/>
      <c r="F3" s="91"/>
      <c r="G3" s="91"/>
      <c r="H3" s="91"/>
    </row>
    <row r="4" spans="1:8" ht="30" customHeight="1">
      <c r="A4" s="1" t="s">
        <v>2394</v>
      </c>
      <c r="B4" s="84" t="s">
        <v>2395</v>
      </c>
      <c r="C4" s="92"/>
      <c r="D4" s="92"/>
      <c r="E4" s="92"/>
      <c r="F4" s="92"/>
      <c r="G4" s="92"/>
      <c r="H4" s="93"/>
    </row>
    <row r="5" spans="1:8" ht="20.100000000000001" customHeight="1">
      <c r="A5" s="82" t="s">
        <v>2396</v>
      </c>
      <c r="B5" s="91"/>
      <c r="C5" s="91"/>
      <c r="D5" s="91"/>
      <c r="E5" s="91"/>
      <c r="F5" s="91"/>
      <c r="G5" s="91"/>
      <c r="H5" s="91"/>
    </row>
    <row r="6" spans="1:8" ht="55.15" customHeight="1">
      <c r="A6" s="3" t="s">
        <v>2397</v>
      </c>
      <c r="B6" s="89" t="s">
        <v>2398</v>
      </c>
      <c r="C6" s="92"/>
      <c r="D6" s="92"/>
      <c r="E6" s="92"/>
      <c r="F6" s="92"/>
      <c r="G6" s="92"/>
      <c r="H6" s="93"/>
    </row>
    <row r="7" spans="1:8" ht="55.15" customHeight="1">
      <c r="A7" s="3" t="s">
        <v>2399</v>
      </c>
      <c r="B7" s="89" t="s">
        <v>2400</v>
      </c>
      <c r="C7" s="92"/>
      <c r="D7" s="92"/>
      <c r="E7" s="92"/>
      <c r="F7" s="92"/>
      <c r="G7" s="92"/>
      <c r="H7" s="93"/>
    </row>
    <row r="8" spans="1:8" ht="55.15" customHeight="1">
      <c r="A8" s="3" t="s">
        <v>2401</v>
      </c>
      <c r="B8" s="89" t="s">
        <v>2402</v>
      </c>
      <c r="C8" s="92"/>
      <c r="D8" s="92"/>
      <c r="E8" s="92"/>
      <c r="F8" s="92"/>
      <c r="G8" s="92"/>
      <c r="H8" s="93"/>
    </row>
    <row r="9" spans="1:8" ht="55.15" customHeight="1">
      <c r="A9" s="3" t="s">
        <v>2403</v>
      </c>
      <c r="B9" s="89" t="s">
        <v>2404</v>
      </c>
      <c r="C9" s="92"/>
      <c r="D9" s="92"/>
      <c r="E9" s="92"/>
      <c r="F9" s="92"/>
      <c r="G9" s="92"/>
      <c r="H9" s="93"/>
    </row>
    <row r="11" spans="1:8" ht="20.100000000000001" customHeight="1">
      <c r="A11" s="82" t="s">
        <v>2405</v>
      </c>
      <c r="B11" s="91"/>
      <c r="C11" s="91"/>
      <c r="D11" s="91"/>
      <c r="E11" s="91"/>
      <c r="F11" s="91"/>
      <c r="G11" s="91"/>
      <c r="H11" s="91"/>
    </row>
    <row r="12" spans="1:8" ht="55.15" customHeight="1">
      <c r="A12" s="3" t="s">
        <v>2406</v>
      </c>
      <c r="B12" s="89" t="s">
        <v>2374</v>
      </c>
      <c r="C12" s="92"/>
      <c r="D12" s="92"/>
      <c r="E12" s="92"/>
      <c r="F12" s="92"/>
      <c r="G12" s="92"/>
      <c r="H12" s="93"/>
    </row>
    <row r="13" spans="1:8" ht="55.15" customHeight="1">
      <c r="A13" s="3" t="s">
        <v>2407</v>
      </c>
      <c r="B13" s="89" t="s">
        <v>2383</v>
      </c>
      <c r="C13" s="92"/>
      <c r="D13" s="92"/>
      <c r="E13" s="92"/>
      <c r="F13" s="92"/>
      <c r="G13" s="92"/>
      <c r="H13" s="93"/>
    </row>
    <row r="14" spans="1:8" ht="55.15" customHeight="1">
      <c r="A14" s="4" t="s">
        <v>2408</v>
      </c>
      <c r="B14" s="90" t="s">
        <v>2409</v>
      </c>
      <c r="C14" s="92"/>
      <c r="D14" s="92"/>
      <c r="E14" s="92"/>
      <c r="F14" s="92"/>
      <c r="G14" s="92"/>
      <c r="H14" s="93"/>
    </row>
    <row r="16" spans="1:8" ht="20.100000000000001" customHeight="1">
      <c r="A16" s="82" t="s">
        <v>2410</v>
      </c>
      <c r="B16" s="91"/>
      <c r="C16" s="91"/>
      <c r="D16" s="91"/>
      <c r="E16" s="91"/>
      <c r="F16" s="91"/>
      <c r="G16" s="91"/>
      <c r="H16" s="91"/>
    </row>
    <row r="17" spans="1:8" ht="55.15" customHeight="1">
      <c r="A17" s="4" t="s">
        <v>2411</v>
      </c>
      <c r="B17" s="90" t="s">
        <v>2412</v>
      </c>
      <c r="C17" s="92"/>
      <c r="D17" s="92"/>
      <c r="E17" s="92"/>
      <c r="F17" s="92"/>
      <c r="G17" s="92"/>
      <c r="H17" s="93"/>
    </row>
    <row r="18" spans="1:8" ht="55.15" customHeight="1">
      <c r="A18" s="4" t="s">
        <v>2413</v>
      </c>
      <c r="B18" s="90" t="s">
        <v>2414</v>
      </c>
      <c r="C18" s="92"/>
      <c r="D18" s="92"/>
      <c r="E18" s="92"/>
      <c r="F18" s="92"/>
      <c r="G18" s="92"/>
      <c r="H18" s="93"/>
    </row>
    <row r="19" spans="1:8" ht="55.15" customHeight="1">
      <c r="A19" s="4" t="s">
        <v>2415</v>
      </c>
      <c r="B19" s="90" t="s">
        <v>2416</v>
      </c>
      <c r="C19" s="92"/>
      <c r="D19" s="92"/>
      <c r="E19" s="92"/>
      <c r="F19" s="92"/>
      <c r="G19" s="92"/>
      <c r="H19" s="93"/>
    </row>
    <row r="20" spans="1:8" ht="55.15" customHeight="1">
      <c r="A20" s="4" t="s">
        <v>2417</v>
      </c>
      <c r="B20" s="90" t="s">
        <v>2418</v>
      </c>
      <c r="C20" s="92"/>
      <c r="D20" s="92"/>
      <c r="E20" s="92"/>
      <c r="F20" s="92"/>
      <c r="G20" s="92"/>
      <c r="H20" s="93"/>
    </row>
    <row r="22" spans="1:8" ht="20.100000000000001" customHeight="1">
      <c r="A22" s="82" t="s">
        <v>2419</v>
      </c>
      <c r="B22" s="91"/>
      <c r="C22" s="91"/>
      <c r="D22" s="91"/>
      <c r="E22" s="91"/>
      <c r="F22" s="91"/>
      <c r="G22" s="91"/>
      <c r="H22" s="91"/>
    </row>
    <row r="23" spans="1:8" ht="55.15" customHeight="1">
      <c r="A23" s="3"/>
      <c r="B23" s="89"/>
      <c r="C23" s="92"/>
      <c r="D23" s="92"/>
      <c r="E23" s="92"/>
      <c r="F23" s="92"/>
      <c r="G23" s="92"/>
      <c r="H23" s="93"/>
    </row>
    <row r="24" spans="1:8" ht="55.15" customHeight="1">
      <c r="A24" s="3"/>
      <c r="B24" s="89"/>
      <c r="C24" s="92"/>
      <c r="D24" s="92"/>
      <c r="E24" s="92"/>
      <c r="F24" s="92"/>
      <c r="G24" s="92"/>
      <c r="H24" s="93"/>
    </row>
    <row r="25" spans="1:8" ht="55.15" customHeight="1">
      <c r="A25" s="3"/>
      <c r="B25" s="89"/>
      <c r="C25" s="92"/>
      <c r="D25" s="92"/>
      <c r="E25" s="92"/>
      <c r="F25" s="92"/>
      <c r="G25" s="92"/>
      <c r="H25" s="93"/>
    </row>
  </sheetData>
  <mergeCells count="22">
    <mergeCell ref="A11:H11"/>
    <mergeCell ref="A1:H1"/>
    <mergeCell ref="B20:H20"/>
    <mergeCell ref="B4:H4"/>
    <mergeCell ref="A16:H16"/>
    <mergeCell ref="B7:H7"/>
    <mergeCell ref="B25:H25"/>
    <mergeCell ref="A3:H3"/>
    <mergeCell ref="B18:H18"/>
    <mergeCell ref="A2:H2"/>
    <mergeCell ref="B12:H12"/>
    <mergeCell ref="A5:H5"/>
    <mergeCell ref="A22:H22"/>
    <mergeCell ref="B23:H23"/>
    <mergeCell ref="B8:H8"/>
    <mergeCell ref="B14:H14"/>
    <mergeCell ref="B17:H17"/>
    <mergeCell ref="B13:H13"/>
    <mergeCell ref="B19:H19"/>
    <mergeCell ref="B9:H9"/>
    <mergeCell ref="B6:H6"/>
    <mergeCell ref="B24:H2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3B66BBFB6BA524187E87CCFCB580D38" ma:contentTypeVersion="10" ma:contentTypeDescription="Create a new document." ma:contentTypeScope="" ma:versionID="86530840dd87da0aa54d14c8648610cc">
  <xsd:schema xmlns:xsd="http://www.w3.org/2001/XMLSchema" xmlns:xs="http://www.w3.org/2001/XMLSchema" xmlns:p="http://schemas.microsoft.com/office/2006/metadata/properties" xmlns:ns2="0206aebc-04d0-4b51-86e3-193a09c7263a" xmlns:ns3="ccff9239-4c81-40b9-b6ac-341e6877abce" targetNamespace="http://schemas.microsoft.com/office/2006/metadata/properties" ma:root="true" ma:fieldsID="3001a585cdcfa11b19f63f4be791b207" ns2:_="" ns3:_="">
    <xsd:import namespace="0206aebc-04d0-4b51-86e3-193a09c7263a"/>
    <xsd:import namespace="ccff9239-4c81-40b9-b6ac-341e6877ab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aebc-04d0-4b51-86e3-193a09c7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ff9239-4c81-40b9-b6ac-341e6877ab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723bc4-eccf-455e-b855-c311889510cc}" ma:internalName="TaxCatchAll" ma:showField="CatchAllData" ma:web="ccff9239-4c81-40b9-b6ac-341e6877a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cff9239-4c81-40b9-b6ac-341e6877abce" xsi:nil="true"/>
    <lcf76f155ced4ddcb4097134ff3c332f xmlns="0206aebc-04d0-4b51-86e3-193a09c726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25B4EC-C147-464D-AB79-81F57C5FE92E}"/>
</file>

<file path=customXml/itemProps2.xml><?xml version="1.0" encoding="utf-8"?>
<ds:datastoreItem xmlns:ds="http://schemas.openxmlformats.org/officeDocument/2006/customXml" ds:itemID="{8A92228A-C366-4969-A832-761FBDB82DFB}"/>
</file>

<file path=customXml/itemProps3.xml><?xml version="1.0" encoding="utf-8"?>
<ds:datastoreItem xmlns:ds="http://schemas.openxmlformats.org/officeDocument/2006/customXml" ds:itemID="{9869E1B9-6EAE-4034-98EA-48369A31FAD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2026-04-16T14:49:43Z</dcterms:created>
  <dcterms:modified xsi:type="dcterms:W3CDTF">2026-09-04T08:05:35Z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0x010100A3B66BBFB6BA524187E87CCFCB580D38</vt:lpwstr>
  </property>
  <property fmtid="{D5CDD505-2E9C-101B-9397-08002B2CF9AE}" pid="3" name="MediaServiceImageTags">
    <vt:lpwstr/>
  </property>
</Properties>
</file>