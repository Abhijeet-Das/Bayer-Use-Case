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deudeloitte.sharepoint.com/sites/CovestroZoraAI/Shared Documents/Allgemein/CFO Insights Pilot/Data/"/>
    </mc:Choice>
  </mc:AlternateContent>
  <xr:revisionPtr revIDLastSave="0" documentId="8_{17AC3D1E-24D3-4AA3-84A5-AF4D70090709}" xr6:coauthVersionLast="47" xr6:coauthVersionMax="47" xr10:uidLastSave="{00000000-0000-0000-0000-000000000000}"/>
  <bookViews>
    <workbookView xWindow="28680" yWindow="-120" windowWidth="29040" windowHeight="15720" firstSheet="7" activeTab="7" xr2:uid="{00000000-000D-0000-FFFF-FFFF00000000}"/>
  </bookViews>
  <sheets>
    <sheet name="1. Overview &amp; Checklist" sheetId="1" r:id="rId1"/>
    <sheet name="2. Table Info" sheetId="2" r:id="rId2"/>
    <sheet name="3. Column Info" sheetId="14" r:id="rId3"/>
    <sheet name="4. Metrics" sheetId="4" r:id="rId4"/>
    <sheet name="5. GT — Ask Zora" sheetId="5" r:id="rId5"/>
    <sheet name="6. KPI Cards" sheetId="6" r:id="rId6"/>
    <sheet name="7. Performance Pulse" sheetId="7" r:id="rId7"/>
    <sheet name="8. Daily News Logic" sheetId="8" r:id="rId8"/>
    <sheet name="9. Fiscal &amp; Rounding Rules" sheetId="9" r:id="rId9"/>
    <sheet name="10. Requirements &amp; Notes" sheetId="10" r:id="rId10"/>
  </sheets>
  <definedNames>
    <definedName name="_xlnm._FilterDatabase" localSheetId="3" hidden="1">'4. Metrics'!$A$5:$K$68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4" l="1"/>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26" i="4"/>
  <c r="C25" i="4"/>
  <c r="C21" i="4"/>
  <c r="C22" i="4"/>
  <c r="C23" i="4"/>
  <c r="C24" i="4"/>
  <c r="C20" i="4"/>
</calcChain>
</file>

<file path=xl/sharedStrings.xml><?xml version="1.0" encoding="utf-8"?>
<sst xmlns="http://schemas.openxmlformats.org/spreadsheetml/2006/main" count="6459" uniqueCount="1832">
  <si>
    <t>ZORA CLIENT ONBOARDING TEMPLATE — OVERVIEW &amp; CHECKLIST</t>
  </si>
  <si>
    <t>Use this checklist to track progress across all onboarding sheets. Complete sheets in order — later sheets depend on earlier ones. Sheet 1 (this sheet) is completed last as a summary of everything gathered.</t>
  </si>
  <si>
    <t>ℹ  HOW TO USE THIS TEMPLATE:  1) Start with Sheet 2 (Table Info) — fill in the client's database tables.  2) Proceed through sheets in order.  3) Yellow rows = pre-filled examples from the reference model — replace with client data.  4) Update the Status column below as each sheet is completed.  5) The AI team uses all sheets to configure and test the product before go-live.</t>
  </si>
  <si>
    <t xml:space="preserve">  PROJECT INFORMATION</t>
  </si>
  <si>
    <t>Client Name</t>
  </si>
  <si>
    <t>Covestro</t>
  </si>
  <si>
    <t>Project / Engagement Name</t>
  </si>
  <si>
    <t>Zora AI Pilot</t>
  </si>
  <si>
    <t>Product Module(s) in Scope</t>
  </si>
  <si>
    <t>[e.g. Ask Zora, KPI Cards, Performance Pulse, Daily News]</t>
  </si>
  <si>
    <t>Primary Client Contact</t>
  </si>
  <si>
    <t>[Name, Title, Email]</t>
  </si>
  <si>
    <t>Zora Team Lead</t>
  </si>
  <si>
    <t>[Name]</t>
  </si>
  <si>
    <t>Target Go-Live Date</t>
  </si>
  <si>
    <t>[DD/MM/YYYY]</t>
  </si>
  <si>
    <t>Data Source System(s)</t>
  </si>
  <si>
    <t>[e.g. SAP S/4HANA, Oracle EBS, Salesforce CRM, Excel Budget Model]</t>
  </si>
  <si>
    <t>Reporting Currency</t>
  </si>
  <si>
    <t>[e.g. USD — all monetary amounts in reporting currency]</t>
  </si>
  <si>
    <t>Fiscal Year Start Month</t>
  </si>
  <si>
    <t>[e.g. January — or April if non-calendar fiscal year]</t>
  </si>
  <si>
    <t xml:space="preserve">  SHEET-BY-SHEET COMPLETION CHECKLIST</t>
  </si>
  <si>
    <t>#</t>
  </si>
  <si>
    <t>Sheet Name</t>
  </si>
  <si>
    <t>What This Sheet Captures</t>
  </si>
  <si>
    <t>Data Provider
(Client / Team)</t>
  </si>
  <si>
    <t>Format Required</t>
  </si>
  <si>
    <t>Priority</t>
  </si>
  <si>
    <t>Status</t>
  </si>
  <si>
    <t>2</t>
  </si>
  <si>
    <t>Table Info</t>
  </si>
  <si>
    <t>All database tables the AI can query: table names, grain (what one row represents), when to use each table, when NOT to use it, and which metrics each table supports.</t>
  </si>
  <si>
    <t>Client (data/IT team)
+ Zora Team validation</t>
  </si>
  <si>
    <t>Fill the Table Info sheet directly. One row per table.</t>
  </si>
  <si>
    <t>🔴 Critical
(required first)</t>
  </si>
  <si>
    <t>NOT STARTED</t>
  </si>
  <si>
    <t>3</t>
  </si>
  <si>
    <t>Column Info</t>
  </si>
  <si>
    <t>Every column in every table: business-friendly name, plain-English description, data type, sample values, and friendly_names (the phrases users say that map to this column).</t>
  </si>
  <si>
    <t>Fill the Column Info sheet. One row per column. friendly_names column is especially important — more = better.</t>
  </si>
  <si>
    <t>4</t>
  </si>
  <si>
    <t>Metrics</t>
  </si>
  <si>
    <t>Every metric the AI can compute: formula, keywords that trigger it, SQL template with {placeholders}, critical usage notes, and example arguments.</t>
  </si>
  <si>
    <t>Zora Team
(with client sign-off on formulas)</t>
  </si>
  <si>
    <t>Fill the Metrics sheet. One row per metric. Client must confirm formula definitions (e.g. how they define DSO, what budget version to use).</t>
  </si>
  <si>
    <t>🔴 Critical</t>
  </si>
  <si>
    <t>5</t>
  </si>
  <si>
    <t>GT — Ask Zora</t>
  </si>
  <si>
    <t>Ground truth question-answer pairs: sample user questions, source tables, step-by-step calculation logic, verified SQL, and expected numerical answers.</t>
  </si>
  <si>
    <t>Functional team (client SMEs)
+ Zora Team builds SQL</t>
  </si>
  <si>
    <t>Fill the GT sheet. Minimum 10 rows covering all key question types. Client SMEs must verify expected_answer values against their source of truth.</t>
  </si>
  <si>
    <t>6</t>
  </si>
  <si>
    <t>KPI Cards</t>
  </si>
  <si>
    <t>KPI card widget definitions: the headline SQL (returns one number), the comparison badge SQL (e.g. MoM change), footnote, target value, and favorable direction.</t>
  </si>
  <si>
    <t>Functional team (client)
+ Zora Team builds SQL</t>
  </si>
  <si>
    <t>Fill the KPI Cards sheet. One row per card. Each SQL must return exactly ONE row. Test against live data before marking complete.</t>
  </si>
  <si>
    <t>🟡 High</t>
  </si>
  <si>
    <t>7</t>
  </si>
  <si>
    <t>Performance Pulse</t>
  </si>
  <si>
    <t>Performance Pulse widget definitions: the SQL that retrieves data, ground truth numbers, the exact output format template (chart + table + narrative structure), and a sample prompt that triggers each widget.</t>
  </si>
  <si>
    <t>Functional team (client)
+ Zora Team</t>
  </si>
  <si>
    <t>Fill the Performance Pulse sheet. One row per widget. ground_truth must be verified. output_format is the exact AI response template.</t>
  </si>
  <si>
    <t>8</t>
  </si>
  <si>
    <t>Daily News Logic</t>
  </si>
  <si>
    <t>Daily auto-generated news items: what each item shows, headline and body templates, calculation logic, verified SQL, ground truth numbers, and chart specification.</t>
  </si>
  <si>
    <t>Fill the Daily News sheet. One row per news item. Test SQL against live data. Mark status PASS only when AI output matches ground truth.</t>
  </si>
  <si>
    <t>9</t>
  </si>
  <si>
    <t>Fiscal &amp; Rounding Rules</t>
  </si>
  <si>
    <t>Client-specific configuration: fiscal year start month, fiscal quarter mapping, reporting currency, number formatting rules, rounding conventions, budget version to use, and KPI targets.</t>
  </si>
  <si>
    <t>Client (Finance / FP&amp;A team)</t>
  </si>
  <si>
    <t>Fill the Fiscal &amp; Rounding Rules sheet directly. All fields required — incorrect fiscal config causes wrong period filters in every query.</t>
  </si>
  <si>
    <t>10</t>
  </si>
  <si>
    <t>Requirements &amp; Notes</t>
  </si>
  <si>
    <t>Master prompt context (who the AI is and how it should behave), known data issues and limitations, open questions for the client, and sign/rounding conventions.</t>
  </si>
  <si>
    <t>Zora Team
+ Client review</t>
  </si>
  <si>
    <t>Fill the Requirements &amp; Notes sheet. Master Prompt Context section is particularly important — it defines AI behaviour.</t>
  </si>
  <si>
    <t>STATUS KEY:   NOT STARTED = work not begun   |   IN PROGRESS = actively being filled   |   CLIENT REVIEW = submitted to client for verification   |   COMPLETE = verified and signed off</t>
  </si>
  <si>
    <t>⚠  DEPENDENCY ORDER:  Sheets 2 (Table Info) and 3 (Column Info) must be completed FIRST — all SQL in later sheets references the exact table and column names defined there.  Sheet 4 (Metrics) must be complete before Sheet 5 (GT).  Sheet 9 (Fiscal &amp; Rounding Rules) must be complete before any AI testing begins.</t>
  </si>
  <si>
    <t>TABLE INFO</t>
  </si>
  <si>
    <t>One row per table in the client database. Describes purpose, grain, usage rules and key joins. Fill every column — the AI uses this to decide WHICH table to query.</t>
  </si>
  <si>
    <t>ℹ  Instructions: Add one row per table. table_name must exactly match the database table name. grain = what one row represents (e.g. 'one row per billing line'). when_to_use / when_not_to_use are critical — they prevent the AI from joining wrong tables. Yellow rows are filled examples; replace with your own data.</t>
  </si>
  <si>
    <t>Covestro - meta data</t>
  </si>
  <si>
    <t>table_name</t>
  </si>
  <si>
    <t>alias</t>
  </si>
  <si>
    <t>table_type</t>
  </si>
  <si>
    <t>primary_key</t>
  </si>
  <si>
    <t>grain</t>
  </si>
  <si>
    <t>when_to_use</t>
  </si>
  <si>
    <t>when_not_to_use</t>
  </si>
  <si>
    <t>string_columns</t>
  </si>
  <si>
    <t>possible_metrics</t>
  </si>
  <si>
    <t>notes</t>
  </si>
  <si>
    <t>AR_KeyDate</t>
  </si>
  <si>
    <t>kd</t>
  </si>
  <si>
    <t>Use for accounts receivable snapshot analysis at a specific reporting date. Use for overdue receivables, not-yet-due receivables, receivables balances, WAT Target, WOC Target, receivables aging, credit exposure, customer payment terms, and working capital reporting. Slice by customer, geography, product, sales organization, industry, marketing hierarchy, or reporting unit.</t>
  </si>
  <si>
    <t>Do not use for sales revenue, sales volume, margin, product cost, shipment, or OTIF analyses. Do not use for operational collection performance trends over time; use AR-PM instead</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</si>
  <si>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'FI-ML0', 'FI-ML02', 'Fiscal year/period', 'Fiscal year/period2', 'Int. Sales Group', 'Int. Sales Group2',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'Net due date',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'Risk Class', 'Risk Class2', 'SBE', 'SBE2', 'Sales Organization', 'Sales Organization2', 'Ship-to', 'Ship-to2', 'ShipTo State/ Province', 'ShipTo State/ Province2', 'Sold-to', 'Sold-to2', 'SoldTo State/ Province', 'SoldTo State/ Province2', 'Subregion ship-to', 'Subregion ship-to2', 'Subregion sold-to', 'Subregion sold-to2', 'Unpacked good', 'Unpacked good2', 'KPI AR-KeyDate: Amount in EUR', 'KPI AR-KeyDate: Counter', 'KPI AR-KeyDate: Net Value of Billing Item (DC)', 'KPI AR-KeyDate: Weighted WoC Target days', 'KPI AR-KeyDate: Weighted target days']</t>
  </si>
  <si>
    <t>WAT Target; WOC Target; Overdue; Not yet due; % Overdue of Receivables; Receivables; Line items; Net value of billing item; Weighted WoC target days; Weighted target days</t>
  </si>
  <si>
    <t>AR_PM</t>
  </si>
  <si>
    <t>pm</t>
  </si>
  <si>
    <t>Use for receivables performance monitoring over time. Use for EDO (Effective Days Outstanding), WAT Receivables, WDD (Weighted Delay Days), collection effectiveness, payment behavior, performance days, posting days, and deviations against WoC targets. Ideal for working capital performance management and collection trend analysis.</t>
  </si>
  <si>
    <t>Do not use for current AR balance snapshots, overdue balances, or receivable aging at a key date; use AR-KeyDate instead. Do not use for sales, margin, pricing, shipment, or OTIF analyses.</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</si>
  <si>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'FI-ML0', 'FI-ML02',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'Net due date',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'Risk Class', 'Risk Class2', 'SBE', 'SBE2', 'Sales Organization', 'Sales Organization2', 'Ship-to', 'Ship-to2', 'ShipTo State/ Province', 'ShipTo State/ Province2', 'Sold-to', 'Sold-to2', 'SoldTo State/ Province', 'SoldTo State/ Province2', 'Subregion ship-to', 'Subregion ship-to2', 'Subregion sold-to', 'Subregion sold-to2', 'Unpacked good', 'Unpacked good2', 'KPI AR-PM: Amount EUR', 'KPI AR-PM: Counter', 'KPI AR-PM: Diff WoC Target', 'KPI AR-PM: EDO (Effective Days Outstanding)', 'KPI AR-PM: Performance Days', 'KPI AR-PM: Posting Days', 'KPI AR-PM: WAT Receivables', 'KPI AR-PM: WDD (Weighted Delay Days)']</t>
  </si>
  <si>
    <t>Receivables - PM; Line items - PM; WoC deviation from target; Effective days outstanding; Performance days; Posting days; WAT Receivables; Weighted delay days</t>
  </si>
  <si>
    <t>COPA</t>
  </si>
  <si>
    <t>cop</t>
  </si>
  <si>
    <t>Use for sales and commercial performance analysis. Use for Gross Sales, Net Sales, Net Proceeds, Sales Deductions, Sales Adjustments, Selling Price, price realization, revenue growth, customer/product sales performance, and commercial reporting. Use when the focus is sales value rather than profitability.</t>
  </si>
  <si>
    <t>Do not use for detailed profitability metrics such as MI1, MI2a, product cost analysis, manufacturing cost analysis, AR reporting, or delivery reliability metrics. Use COSMOS for margin and profitability calculations.</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</si>
  <si>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'SBE', 'SBE2', 'Sales Organization', 'Sales Organization2', 'Ship-to', 'Ship-to2', 'ShipTo State/ Province', 'ShipTo State/ Province2', 'Sold-to', 'Sold-to2', 'SoldTo State/ Province', 'SoldTo State/ Province2', 'Subregion ship-to', 'Subregion ship-to2', 'Subregion sold-to', 'Subregion sold-to2', 'Unpacked good', 'Unpacked good2', 'KPI COPA: Gross Sales Qty', 'KPI COPA: Gross sales', 'KPI COPA: Net proceeds', 'KPI COPA: Net sales', 'KPI COPA: Sales adjustments', 'KPI COPA: Sales deductions']</t>
  </si>
  <si>
    <t>Net Sales Growth (%); Selling Price; Gross sales quantity (CO-PA); Gross sales (CO-PA); Net proceeds (CO-PA); Net sales (CO-PA); Sales adjustments (CO-PA); Sales deductions (CO-PA)</t>
  </si>
  <si>
    <t>COSMOS</t>
  </si>
  <si>
    <t>cos</t>
  </si>
  <si>
    <t>Use for profitability, margin, and cost analysis. Use for MI1, MI2a, MI1 %, MI2a %, MI1 per kg, MI2a per kg, Variable Product Costs, Variable Product Costs per kg, Manufacturing Costs, Net Sales, Gross Sales Qty, Net Proceeds, Exchange Rate Effects, and overall business profitability reporting. This is the primary table for margin management and product profitability analysis.</t>
  </si>
  <si>
    <t>Do not use for accounts receivable analysis, delivery performance monitoring, shipment execution analysis, or operational logistics KPIs. Do not use when only COPA sales values are required and profitability metrics are not needed.</t>
  </si>
  <si>
    <t>['BG, booked', 'BG, booked2', 'Calendar Day',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'Exchange rate effect', 'Extern. Sales Office', 'Extern. Sales Office2',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'Plant', 'Plant2', 'Prod.Hier.1', 'Prod.Hier.12', 'Prod.Hier.2', 'Prod.Hier.22', 'Prod.Hier.3', 'Prod.Hier.32', 'Prod.Hier.4', 'Prod.Hier.42', 'Prod.Hier.5', 'Prod.Hier.52', 'Prod.Hier.6', 'Prod.Hier.62', 'Produced Material', 'Produced Material2', 'Region ship-to', 'Region ship-to2', 'Region sold-to', 'Region sold-to2', 'Reporting Unit, book', 'Reporting Unit, book2', 'SBE', 'SBE2', 'Sales Organization', 'Sales Organization2', 'Ship-to', 'Ship-to2', 'ShipTo State/ Province', 'ShipTo State/ Province2', 'Sold-to', 'Sold-to2', 'SoldTo State/ Province', 'SoldTo State/ Province2', 'Subregion ship-to', 'Subregion ship-to2', 'Subregion sold-to', 'Subregion sold-to2', 'Unpacked good', 'Unpacked good2', 'KPI COSMOS: Consolidated Marginal Income II a', 'KPI COSMOS: Consolidated Marginal Income I', 'KPI COSMOS: Gross Sales', 'KPI COSMOS: Gross Sales Qty (in+ex)', 'KPI COSMOS: Net Proceeds', 'KPI COSMOS: Net Sales', 'KPI COSMOS: Product Costs, Var.', 'KPI COSMOS: Sales Adjustments', 'KPI COSMOS: Sales Deductions', 'KPI COSMOS: Total Manufacturing Costs, Fix']</t>
  </si>
  <si>
    <t>Var. Product Costs per kg; MI1 in %; Margin I per kg; MI2a in %; MI2a per kg; Consolidated marginal income I; Consolidated marginal income II a; Gross sales (COSMOS); Gross sales quantity internal + external (COSMOS); Net proceeds (COSMOS); Net sales (COSMOS); Variable product costs; Sales Adjustments (COSMOS); Sales deductions (COSMOS); Total fixed manufacturing costs</t>
  </si>
  <si>
    <t>OTIF</t>
  </si>
  <si>
    <t>o</t>
  </si>
  <si>
    <t>Use for supply chain and customer service performance reporting. Use for OTIF Rate, delivery reliability, on-time delivery, in-full delivery, late deliveries, transportation performance, quantity deviations, overdeliveries, underdeliveries, carrier performance, and logistics service level analysis.</t>
  </si>
  <si>
    <t>Do not use for sales revenue, profitability, pricing, receivables, working capital, or financial performance reporting. Delivery quantities should be used for service-level analysis only, not official sales volume reporting.</t>
  </si>
  <si>
    <t>['Act. GI Day', 'BG, booked', 'BG, booked2', 'Carrier', 'Carrier2', 'Company Code', 'Company Code2', 'Core Business Indicator', 'Core Business Indicator2', 'Country ship-to', 'Country ship-to2', 'Country sold-to', 'Country sold-to2', 'Delivery plant', 'Delivery plant2', 'Extern. Sales Office', 'Extern. Sales Office2', 'Int. Sales Group', 'Int. Sales Group2', 'Int. Sales office', 'Int. Sales office2', 'Key Industry', 'Key Industry2', 'Leg transp. Chain', 'Leg transp. Chain2', 'Loading Country', 'Loading Country2', 'Loading location', 'Loading location2',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'Mode of transport', 'Mode of transport2', 'PH3 Cluster', 'PH3 Cluster2', 'Plant', 'Plant2', 'Prod.Hier.1', 'Prod.Hier.12', 'Prod.Hier.2', 'Prod.Hier.22', 'Prod.Hier.3', 'Prod.Hier.32', 'Prod.Hier.4', 'Prod.Hier.42', 'Prod.Hier.5', 'Prod.Hier.52', 'Prod.Hier.6', 'Prod.Hier.62', 'Produced Material', 'Produced Material2', 'Region ship-to', 'Region ship-to2', 'Region sold-to', 'Region sold-to2', 'Reporting Unit, book', 'Reporting Unit, book2', 'SBE', 'SBE2', 'Ship-to', 'Ship-to2', 'ShipTo State/ Province', 'ShipTo State/ Province2', 'Sold-to', 'Sold-to2', 'SoldTo State/ Province', 'SoldTo State/ Province2', 'Subregion ship-to', 'Subregion ship-to2', 'Subregion sold-to', 'Subregion sold-to2', 'T3 Arr. Date planned', 'T3 Arr. date actual', 'T3 Loading Loc. ROI', 'T3 Loading Loc. ROI2', 'T3 SH Shipper', 'T3 SH Shipper2', 'TM Destin. Location', 'TM Destin. Location2', 'Unpacked good', 'Unpacked good2', 'KPI OTIF: # OTIF', 'KPI OTIF: # late GI', 'KPI OTIF: # late IF', 'KPI OTIF: # late NIF', 'KPI OTIF: # late create', 'KPI OTIF: # late transport', 'KPI OTIF: # not in full', 'KPI OTIF: # on time', 'KPI OTIF: # total deliveries', 'KPI OTIF: # total late', 'KPI OTIF: # total late+OT NIF', 'KPI OTIF: 1. Agreed quantity KG', 'KPI OTIF: Delivery Quantity KG', 'KPI OTIF: Overdelivery KG', 'KPI OTIF: Qty deviation KG', 'KPI OTIF: Underdelivery KG', 'KPI OTIF: # OT not in full' ]</t>
  </si>
  <si>
    <t>OTIF Rate; On-time but incomplete deliveries; OTIF-compliant deliveries; Deliveries with late goods issue; Late and complete deliveries; Late and not-in-full deliveries (NIF); Deliveries with late order creation; Deliveries with transport delay; Incomplete deliveries; On-time deliveries; Total deliveries; Total late deliveries; Total late and/or incomplete deliveries; Agreed delivery quantity; Actually delivered quantity; Overdelivery quantity; Quantity deviation; Underdelivery quantity</t>
  </si>
  <si>
    <t>Sales</t>
  </si>
  <si>
    <t>s</t>
  </si>
  <si>
    <t>Use for order fulfillment, shipment, and delivery volume analysis. Use for Delivery Quantity KG, shipment values, delivery execution, planned vs. actual delivery dates, goods issue tracking, delivery trends, and Volume Growth (%). This table is best for operational sales volume and logistics execution reporting.</t>
  </si>
  <si>
    <t>Do not use for profitability calculations, marginal income reporting, receivables analysis, pricing calculations, or OTIF service-level calculations. For revenue use COPA; for margin use COSMOS; for delivery reliability use OTIF.</t>
  </si>
  <si>
    <t>['Act. GI Day', 'Actual delivery date', 'BG, booked', 'BG, booked2', 'Company Code', 'Company Code2', 'Core Business Indicator', 'Core Business Indicator2', 'Country ship-to', 'Country ship-to2', 'Country sold-to', 'Country sold-to2', 'Created on', 'Cust Hier1', 'Cust Hier12', 'Cust Hier2', 'Cust Hier22', 'Cust Hier3', 'Cust Hier32', 'Customer Cluster', 'Customer Cluster2', 'Delivery date plann.', 'Document currency', 'Document currency2', 'Extern. Sales Office', 'Extern. Sales Office2',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 goods is. date', 'Plant', 'Plant2', 'Prod.Hier.1', 'Prod.Hier.12', 'Prod.Hier.2', 'Prod.Hier.22', 'Prod.Hier.3', 'Prod.Hier.32', 'Prod.Hier.4', 'Prod.Hier.42', 'Prod.Hier.5', 'Prod.Hier.52', 'Prod.Hier.6', 'Prod.Hier.62', 'Prod.Hier.622', 'Prod.Hier.6222', 'Produced Material', 'Produced Material2', 'Region ship-to', 'Region ship-to2', 'Region sold-to', 'Region sold-to2', 'Reporting Unit, book', 'Reporting Unit, book2', 'SBE', 'SBE2', 'Ship-to', 'Ship-to2', 'ShipTo State/ Province', 'ShipTo State/ Province2', 'Sold-to', 'Sold-to2', 'SoldTo State/ Province', 'SoldTo State/ Province2', 'Subregion ship-to', 'Subregion ship-to2', 'Subregion sold-to', 'Subregion sold-to2', 'Unpacked good', 'Unpacked good2', 'KPI Sales: Delivery Quantity KG', 'KPI Sales: Net value deliv. DC', 'KPI Sales: Net value delivery EUR']</t>
  </si>
  <si>
    <t>Volume Growth (%); Order Volume; Net value of delivery item; Net value of delivery</t>
  </si>
  <si>
    <t>Deloitte FDE</t>
  </si>
  <si>
    <t>Fields to be clarified - High priority</t>
  </si>
  <si>
    <t>Fields to be clarified - Mid priority</t>
  </si>
  <si>
    <t>Fields to be clarified - Low priority</t>
  </si>
  <si>
    <t>🟡 Yellow rows = example data from product reference model.  Replace with your client's actual table names, descriptions and business rules before use.</t>
  </si>
  <si>
    <t>COLUMN INFO</t>
  </si>
  <si>
    <t>One row per column in each table. Defines business meaning, data type, and the natural-language aliases the AI uses to map user questions to the right column.</t>
  </si>
  <si>
    <t>ℹ  Instructions: Add one row per column per table. business_name = plain English label shown in responses. friendly_names = comma-separated phrases users might say (e.g. 'revenue, sales, net revenue'). The AI uses friendly_names to resolve ambiguous questions — the more you add, the more accurate it is. is_key = TRUE for primary/foreign keys. is_required = TRUE if the column is always populated.</t>
  </si>
  <si>
    <t>column_name</t>
  </si>
  <si>
    <t>technical_name</t>
  </si>
  <si>
    <t>business_name</t>
  </si>
  <si>
    <t>description</t>
  </si>
  <si>
    <t>data_type</t>
  </si>
  <si>
    <t>is_key</t>
  </si>
  <si>
    <t>is_required</t>
  </si>
  <si>
    <t>sample_values</t>
  </si>
  <si>
    <t>friendly_names</t>
  </si>
  <si>
    <t>BG, booked</t>
  </si>
  <si>
    <t>BG__BOOKED</t>
  </si>
  <si>
    <t>Booked business group</t>
  </si>
  <si>
    <t>Indicator for the booked business group (BG) of a document. Used in profitability analysis (CO-PA) and reporting to delimit booking units within a company code.</t>
  </si>
  <si>
    <t>NUMBER(2)</t>
  </si>
  <si>
    <t>False</t>
  </si>
  <si>
    <t>NOT NULL, integer only, max abs value 97</t>
  </si>
  <si>
    <t>business group; booked business group; BG; business unit group; reporting business group</t>
  </si>
  <si>
    <t>BG, booked2</t>
  </si>
  <si>
    <t>BG__BOOKED2</t>
  </si>
  <si>
    <t>Booked business group (TEXT)</t>
  </si>
  <si>
    <t>VARCHAR2(40)</t>
  </si>
  <si>
    <t>PM</t>
  </si>
  <si>
    <t>NOT NULL, text/mixed, max length 20</t>
  </si>
  <si>
    <t>Company Code</t>
  </si>
  <si>
    <t>COMPANY_CODE</t>
  </si>
  <si>
    <t>Company code</t>
  </si>
  <si>
    <t>A company code is the smallest organizational unit for which a complete, self-contained set of accounts can be drawn up. It typically corresponds to a legally independent company within the group. All documents are assigned to a company code. Each legal entity has its own company code.</t>
  </si>
  <si>
    <t>NUMBER(4)</t>
  </si>
  <si>
    <t>NOT NULL, integer only, max abs value 2422</t>
  </si>
  <si>
    <t>company; legal entity; entity; subsidiary; business entity; reporting company</t>
  </si>
  <si>
    <t>Company Code2</t>
  </si>
  <si>
    <t>COMPANY_CODE2</t>
  </si>
  <si>
    <t>Company code (TEXT)</t>
  </si>
  <si>
    <t>Covestro Private/Ind</t>
  </si>
  <si>
    <t>Core Business Indicator</t>
  </si>
  <si>
    <t>CORE_BUSINESS_INDICATOR</t>
  </si>
  <si>
    <t>Core business indicator</t>
  </si>
  <si>
    <t>A flag that indicates whether a business transaction belongs to company' s core business or is assigned to a sideline business. Relevant for separating core and non-core activities in reporting. Values C, P, and T together represent Core Business classification.</t>
  </si>
  <si>
    <t>VARCHAR2(2)</t>
  </si>
  <si>
    <t>C</t>
  </si>
  <si>
    <t>NOT NULL, text/mixed, max length 1</t>
  </si>
  <si>
    <t>core business; non-core business; business classification; core activity; strategic business flag</t>
  </si>
  <si>
    <t>Core Business Indicator2</t>
  </si>
  <si>
    <t>CORE_BUSINESS_INDICATOR2</t>
  </si>
  <si>
    <t>Core business indicator (TEXT)</t>
  </si>
  <si>
    <t>Core external market</t>
  </si>
  <si>
    <t>Country ship-to</t>
  </si>
  <si>
    <t>COUNTRY_SHIP_TO</t>
  </si>
  <si>
    <t>Country of the ship-to party</t>
  </si>
  <si>
    <t>The country of the ship-to partner (goods recipient) from the customer master. Used for geographic analyses, foreign trade statistics and export controls. Part of the customer attributes in SAP S/4HANA (Ship-to Country).</t>
  </si>
  <si>
    <t>VARCHAR2(4)</t>
  </si>
  <si>
    <t>IN</t>
  </si>
  <si>
    <t>NOT NULL, text/mixed, max length 2</t>
  </si>
  <si>
    <t>ship-to country; delivery country; destination country; receiving country; customer destination country</t>
  </si>
  <si>
    <t>Country ship-to2</t>
  </si>
  <si>
    <t>COUNTRY_SHIP_TO2</t>
  </si>
  <si>
    <t>Country of the ship-to party (TEXT)</t>
  </si>
  <si>
    <t>VARCHAR2(28)</t>
  </si>
  <si>
    <t>India</t>
  </si>
  <si>
    <t>NOT NULL, text/mixed, max length 14</t>
  </si>
  <si>
    <t>Country sold-to</t>
  </si>
  <si>
    <t>COUNTRY_SOLD_TO</t>
  </si>
  <si>
    <t>Country of the sold-to party</t>
  </si>
  <si>
    <t>The country of the sold-to partner (ordering customer) from the customer master. Used for geographic sales analyses. Part of the customer attributes in SAP S/4HANA (Sold-to Country).</t>
  </si>
  <si>
    <t>customer country; sold-to country; sales country; ordering country; market country</t>
  </si>
  <si>
    <t>Country sold-to2</t>
  </si>
  <si>
    <t>COUNTRY_SOLD_TO2</t>
  </si>
  <si>
    <t>Country of the sold-to party (TEXT)</t>
  </si>
  <si>
    <t>VARCHAR2(30)</t>
  </si>
  <si>
    <t>NOT NULL, text/mixed, max length 15</t>
  </si>
  <si>
    <t>Cust Hier1</t>
  </si>
  <si>
    <t>CUST_HIER1</t>
  </si>
  <si>
    <t>Customer hierarchy level 1</t>
  </si>
  <si>
    <t>The highest level of the customer hierarchy. Customer hierarchies are flexible, multi-level structures that reflect the organizational structure of customers. Level 1 typically represents the parent company (e.g. group headquarters). Used for pricing and reporting.</t>
  </si>
  <si>
    <t>33</t>
  </si>
  <si>
    <t>customer hierarchy level 1; parent customer; global parent; customer group level 1; top customer hierarchy</t>
  </si>
  <si>
    <t>Cust Hier12</t>
  </si>
  <si>
    <t>CUST_HIER12</t>
  </si>
  <si>
    <t>Customer hierarchy level 1 (TEXT)</t>
  </si>
  <si>
    <t>VARCHAR2(38)</t>
  </si>
  <si>
    <t>TUR PU Specialties</t>
  </si>
  <si>
    <t>NOT NULL, text/mixed, max length 19</t>
  </si>
  <si>
    <t>Cust Hier2</t>
  </si>
  <si>
    <t>CUST_HIER2</t>
  </si>
  <si>
    <t>Customer hierarchy level 2</t>
  </si>
  <si>
    <t>Second level of the customer hierarchy. Typically represents an intermediate level (e.g. regional subsidiary) within the customer hierarchy.</t>
  </si>
  <si>
    <t>VARCHAR2(6)</t>
  </si>
  <si>
    <t>604</t>
  </si>
  <si>
    <t>NOT NULL, text/mixed, max length 3</t>
  </si>
  <si>
    <t>customer hierarchy level 2; customer group level 2; regional customer group; hierarchy level 2</t>
  </si>
  <si>
    <t>Cust Hier22</t>
  </si>
  <si>
    <t>CUST_HIER22</t>
  </si>
  <si>
    <t>Customer hierarchy level 2 (TEXT)</t>
  </si>
  <si>
    <t>TUR Auto</t>
  </si>
  <si>
    <t>Cust Hier3</t>
  </si>
  <si>
    <t>CUST_HIER3</t>
  </si>
  <si>
    <t>Customer hierarchy level 3</t>
  </si>
  <si>
    <t>Third level of the customer hierarchy. Represents the lowest standard hierarchy level (e.g. individual branch or subsidiary of the customer).</t>
  </si>
  <si>
    <t>VARCHAR2(10)</t>
  </si>
  <si>
    <t>71008</t>
  </si>
  <si>
    <t>NOT NULL, text/mixed, max length 5</t>
  </si>
  <si>
    <t>customer hierarchy level 3; customer group level 3; local customer group; hierarchy level 3</t>
  </si>
  <si>
    <t>Cust Hier32</t>
  </si>
  <si>
    <t>CUST_HIER32</t>
  </si>
  <si>
    <t>Customer hierarchy level 3 (TEXT)</t>
  </si>
  <si>
    <t>TU Auto LoadFloorSpr</t>
  </si>
  <si>
    <t>Customer Channel</t>
  </si>
  <si>
    <t>CUSTOMER_CHANNEL</t>
  </si>
  <si>
    <t>Customer sales channel</t>
  </si>
  <si>
    <t>An attribute that classifies a customer's sales channel(e.g. direct sales, distributor, e-commerce). Used for segmentation and sales analyses in BW reporting.</t>
  </si>
  <si>
    <t>D01</t>
  </si>
  <si>
    <t>sales channel; customer channel; distribution channel; route to market; go-to-market channel</t>
  </si>
  <si>
    <t>Customer Channel2</t>
  </si>
  <si>
    <t>CUSTOMER_CHANNEL2</t>
  </si>
  <si>
    <t>Customer sales channel (TEXT)</t>
  </si>
  <si>
    <t>VARCHAR2(56)</t>
  </si>
  <si>
    <t>DIR-Direct</t>
  </si>
  <si>
    <t>NOT NULL, text/mixed, max length 28</t>
  </si>
  <si>
    <t>Customer Cluster</t>
  </si>
  <si>
    <t>CUSTOMER_CLUSTER</t>
  </si>
  <si>
    <t>Customer cluster</t>
  </si>
  <si>
    <t>An attribute for grouping customers by strategic or analytical criteria (e.g. size, potential, industry). Used in sales controlling and segmentation analysis.</t>
  </si>
  <si>
    <t>VARCHAR2(8)</t>
  </si>
  <si>
    <t>1312</t>
  </si>
  <si>
    <t>NOT NULL, text/mixed, max length 4</t>
  </si>
  <si>
    <t>customer segment; customer cluster; customer category; strategic segment; customer grouping</t>
  </si>
  <si>
    <t>Customer Cluster2</t>
  </si>
  <si>
    <t>CUSTOMER_CLUSTER2</t>
  </si>
  <si>
    <t>Customer cluster (TEXT)</t>
  </si>
  <si>
    <t>VARCHAR2(74)</t>
  </si>
  <si>
    <t>PMC-TUR-SPEC-Others</t>
  </si>
  <si>
    <t>NOT NULL, text/mixed, max length 37</t>
  </si>
  <si>
    <t>Extern. Sales Office</t>
  </si>
  <si>
    <t>EXTERN__SALES_OFFICE</t>
  </si>
  <si>
    <t>External sales office code</t>
  </si>
  <si>
    <t>The external sales office is an organizational unit within the sales organization representing geographic sales regions.The nomenclature contains a 2-digit legal entity identifier followed by a number (70–79). Serves as a selection criterion for sales documents and analyses.</t>
  </si>
  <si>
    <t>VARCHAR2(12)</t>
  </si>
  <si>
    <t>HKA086</t>
  </si>
  <si>
    <t>NOT NULL, text/mixed, max length 6</t>
  </si>
  <si>
    <t>sales office; external sales office; regional sales office; commercial office</t>
  </si>
  <si>
    <t>Extern. Sales Office2</t>
  </si>
  <si>
    <t>EXTERN__SALES_OFFICE2</t>
  </si>
  <si>
    <t>External sales office code (TEXT)</t>
  </si>
  <si>
    <t>MBDNO</t>
  </si>
  <si>
    <t>FI-ML0</t>
  </si>
  <si>
    <t>FI_ML0</t>
  </si>
  <si>
    <t>Financial characteristic level 0</t>
  </si>
  <si>
    <t>An internal characteristic from financial accounting (FI) representing a top-level classification (Level 0) for cross-company-code analyses. Used in integrated financial and management reporting.</t>
  </si>
  <si>
    <t>NOT NULL, integer only, max abs value 78</t>
  </si>
  <si>
    <t>financial hierarchy; finance level 0; finance segment; reporting hierarchy</t>
  </si>
  <si>
    <t>FI-ML02</t>
  </si>
  <si>
    <t>FI_ML02</t>
  </si>
  <si>
    <t>Financial characteristic level 0 (TEXT)</t>
  </si>
  <si>
    <t>VARCHAR2(16)</t>
  </si>
  <si>
    <t>TUR</t>
  </si>
  <si>
    <t>NOT NULL, text/mixed, max length 8</t>
  </si>
  <si>
    <t>Fiscal year/period</t>
  </si>
  <si>
    <t>FISCAL_YEAR_PERIOD</t>
  </si>
  <si>
    <t>Fiscal year / period</t>
  </si>
  <si>
    <t xml:space="preserve">Combination of fiscal year (e.g. 2025) and posting period (e.g. 001–012 for months). Serves as the time dimension in all SAP posting and controlling reports. </t>
  </si>
  <si>
    <t>NUMBER(10,4)</t>
  </si>
  <si>
    <t>NOT NULL, numeric, max prec/scale 10/4</t>
  </si>
  <si>
    <t>fiscal period; fiscal month; accounting period; reporting period; fiscal year; period</t>
  </si>
  <si>
    <t>Fiscal year/period2</t>
  </si>
  <si>
    <t>FISCAL_YEAR_PERIOD2</t>
  </si>
  <si>
    <t>Fiscal year / period (TEXT)</t>
  </si>
  <si>
    <t>Jan 26</t>
  </si>
  <si>
    <t>Int. Sales Group</t>
  </si>
  <si>
    <t>INT__SALES_GROUP</t>
  </si>
  <si>
    <t>Internal sales group</t>
  </si>
  <si>
    <t xml:space="preserve">An internal sales group is a sub-unit of a sales office. Employees are assigned to sales groups; a group is responsible for all line items in a sales document. </t>
  </si>
  <si>
    <t>0B0</t>
  </si>
  <si>
    <t>sales group; internal sales group; sales team; commercial group</t>
  </si>
  <si>
    <t>Int. Sales Group2</t>
  </si>
  <si>
    <t>INT__SALES_GROUP2</t>
  </si>
  <si>
    <t>Internal sales group (TEXT)</t>
  </si>
  <si>
    <t>VARCHAR2(34)</t>
  </si>
  <si>
    <t>MBVPR</t>
  </si>
  <si>
    <t>NOT NULL, text/mixed, max length 17</t>
  </si>
  <si>
    <t>Key Industry</t>
  </si>
  <si>
    <t>KEY_INDUSTRY</t>
  </si>
  <si>
    <t>Key industry</t>
  </si>
  <si>
    <t>An attribute that classifies the target industry of a customer or product (e.g. Automotive, Construction, Electronics). Used for market and industry segmentation in sales reporting.</t>
  </si>
  <si>
    <t>NOT NULL, integer only, max abs value 16</t>
  </si>
  <si>
    <t>industry; industry segment; customer industry; market industry; sector</t>
  </si>
  <si>
    <t>Key Industry2</t>
  </si>
  <si>
    <t>KEY_INDUSTRY2</t>
  </si>
  <si>
    <t>Key industry (TEXT)</t>
  </si>
  <si>
    <t>Automotive</t>
  </si>
  <si>
    <t>Marketing Customer ship-to</t>
  </si>
  <si>
    <t>MARKETING_CUSTOMER_SHIP_TO</t>
  </si>
  <si>
    <t>Marketing customer (ship-to)</t>
  </si>
  <si>
    <t xml:space="preserve">An attribute in the customer master that assigns the ship-to party to a higher-level marketing customer. </t>
  </si>
  <si>
    <t>3530369</t>
  </si>
  <si>
    <t>marketing customer ship-to; customer group ship-to; strategic ship-to customer</t>
  </si>
  <si>
    <t>Marketing Customer ship-to2</t>
  </si>
  <si>
    <t>MARKETING_CUSTOMER_SHIP_TO2</t>
  </si>
  <si>
    <t>Marketing customer (ship-to) (TEXT)</t>
  </si>
  <si>
    <t>VARCHAR2(70)</t>
  </si>
  <si>
    <t>SUPREME NONWOVEN INDUSTRIES PVT.LTD</t>
  </si>
  <si>
    <t>NOT NULL, text/mixed, max length 35</t>
  </si>
  <si>
    <t>Marketing Customer sold-to</t>
  </si>
  <si>
    <t>MARKETING_CUSTOMER_SOLD_TO</t>
  </si>
  <si>
    <t>Marketing customer (sold-to)</t>
  </si>
  <si>
    <t>An attribute in the customer master that assigns the sold-to party to a higher-level marketing customer.</t>
  </si>
  <si>
    <t>marketing customer; global customer; strategic customer; corporate customer; parent customer</t>
  </si>
  <si>
    <t>Marketing Customer sold-to2</t>
  </si>
  <si>
    <t>MARKETING_CUSTOMER_SOLD_TO2</t>
  </si>
  <si>
    <t>Marketing customer (sold-to) (TEXT)</t>
  </si>
  <si>
    <t>Marketing Level 0</t>
  </si>
  <si>
    <t>MARKETING_LEVEL_0</t>
  </si>
  <si>
    <t>Marketing level 0 (top level)</t>
  </si>
  <si>
    <t>Highest level of the internal marketing hierarchy. Typically corresponds to the reportable segment (e.g. "Performance Materials" or "Solutions &amp; Specialties"). Serves as the highest aggregation level in product portfolio reporting.</t>
  </si>
  <si>
    <t>business segment; top marketing hierarchy; strategic segment; portfolio segment</t>
  </si>
  <si>
    <t>Marketing Level 02</t>
  </si>
  <si>
    <t>MARKETING_LEVEL_02</t>
  </si>
  <si>
    <t>Marketing level 0 (top level) (TEXT)</t>
  </si>
  <si>
    <t>Marketing Level 1</t>
  </si>
  <si>
    <t>MARKETING_LEVEL_1</t>
  </si>
  <si>
    <t>Marketing level 1</t>
  </si>
  <si>
    <t>Second level of the internal marketing hierarchy. Subdivides the reportable segment into strategic product groups or business entities.</t>
  </si>
  <si>
    <t>P71</t>
  </si>
  <si>
    <t>marketing hierarchy level 1; business line; marketing portfolio level 1</t>
  </si>
  <si>
    <t>Marketing Level 12</t>
  </si>
  <si>
    <t>MARKETING_LEVEL_12</t>
  </si>
  <si>
    <t>Marketing level 1 (TEXT)</t>
  </si>
  <si>
    <t>Marketing Level 2</t>
  </si>
  <si>
    <t>MARKETING_LEVEL_2</t>
  </si>
  <si>
    <t>Marketing level 2</t>
  </si>
  <si>
    <t>Third level of the internal marketing hierarchy. Represents a further subdivision of Marketing Level 1 groups, e.g. by product lines or application areas.</t>
  </si>
  <si>
    <t>marketing hierarchy level 2; product line; market segment</t>
  </si>
  <si>
    <t>Marketing Level 22</t>
  </si>
  <si>
    <t>MARKETING_LEVEL_22</t>
  </si>
  <si>
    <t>Marketing level 2 (TEXT)</t>
  </si>
  <si>
    <t>Marketing Level 3</t>
  </si>
  <si>
    <t>MARKETING_LEVEL_3</t>
  </si>
  <si>
    <t>Marketing level 3</t>
  </si>
  <si>
    <t>Fourth level of the internal marketing hierarchy. Further detail breakdown below Marketing Level 2, e.g. by product types or market segments.</t>
  </si>
  <si>
    <t>marketing hierarchy level 3; product segment; business segment</t>
  </si>
  <si>
    <t>Marketing Level 32</t>
  </si>
  <si>
    <t>MARKETING_LEVEL_32</t>
  </si>
  <si>
    <t>Marketing level 3 (TEXT)</t>
  </si>
  <si>
    <t>TU Auto Sys Int APAC</t>
  </si>
  <si>
    <t>Marketing Level 4</t>
  </si>
  <si>
    <t>MARKETING_LEVEL_4</t>
  </si>
  <si>
    <t>Marketing level 4 (lowest level)</t>
  </si>
  <si>
    <t>Lowest level of the internal marketing hierarchy. Represents the most granular classification in the marketing product tree, e.g. individual product grades or specifications.</t>
  </si>
  <si>
    <t>A923</t>
  </si>
  <si>
    <t>marketing hierarchy level 4; product group; product specification; portfolio detail</t>
  </si>
  <si>
    <t>Marketing Level 42</t>
  </si>
  <si>
    <t>MARKETING_LEVEL_42</t>
  </si>
  <si>
    <t>Marketing level 4 (lowest level) (TEXT)</t>
  </si>
  <si>
    <t>Material</t>
  </si>
  <si>
    <t>MATERIAL</t>
  </si>
  <si>
    <t>Material number</t>
  </si>
  <si>
    <t xml:space="preserve">The unique alphanumeric identifier of a material (product, raw material, semi-finished good) in the SAP system. Central master data object to which all logistical and accounting transactions are assigned. </t>
  </si>
  <si>
    <t>product number; material; SKU; item number; article; product code</t>
  </si>
  <si>
    <t>Material2</t>
  </si>
  <si>
    <t>MATERIAL2</t>
  </si>
  <si>
    <t>Material number (TEXT)</t>
  </si>
  <si>
    <t>VARCHAR2(80)</t>
  </si>
  <si>
    <t>DESMODUR VP.PU 1511 L    0250,00 KG B13</t>
  </si>
  <si>
    <t>NOT NULL, text/mixed, max length 40</t>
  </si>
  <si>
    <t>Net due date</t>
  </si>
  <si>
    <t>NET_DUE_DATE</t>
  </si>
  <si>
    <t>The date on which an open receivable (customer line item) is due net without any deduction. Derived from the invoice date plus the agreed payment terms. Central to accounts receivable management and WoC/EDO KPIs.</t>
  </si>
  <si>
    <t>DATE</t>
  </si>
  <si>
    <t>16.02.2026</t>
  </si>
  <si>
    <t>NOT NULL, all non-empty values match date pattern</t>
  </si>
  <si>
    <t>due date; payment due date; receivable due date; invoice due date</t>
  </si>
  <si>
    <t>PH3 Cluster</t>
  </si>
  <si>
    <t>PH3_CLUSTER</t>
  </si>
  <si>
    <t>Product hierarchy level 3 cluster</t>
  </si>
  <si>
    <t>A grouping based on the third product hierarchy level (PH3). Aggregates product groups into strategic clusters used for sales and planning analyses. Example cluster: ACR for acrylate product groups.</t>
  </si>
  <si>
    <t>product cluster; product group; product segment; product portfolio cluster</t>
  </si>
  <si>
    <t>PH3 Cluster2</t>
  </si>
  <si>
    <t>PH3_CLUSTER2</t>
  </si>
  <si>
    <t>Product hierarchy level 3 cluster (TEXT)</t>
  </si>
  <si>
    <t>SMDI</t>
  </si>
  <si>
    <t>Plant</t>
  </si>
  <si>
    <t>PLANT</t>
  </si>
  <si>
    <t xml:space="preserve">A plant is an organizational unit within logistics that represents the location of a production facility, storage location or service provision. All material stocks, production orders and deliveries are assigned to a plant. </t>
  </si>
  <si>
    <t>I1AQ</t>
  </si>
  <si>
    <t>plant; factory; manufacturing site; production site; warehouse; location</t>
  </si>
  <si>
    <t>Plant2</t>
  </si>
  <si>
    <t>PLANT2</t>
  </si>
  <si>
    <t>Plant (TEXT)</t>
  </si>
  <si>
    <t>DC NEW RHENUS WAREHO</t>
  </si>
  <si>
    <t>Posting date</t>
  </si>
  <si>
    <t>POSTING_DATE</t>
  </si>
  <si>
    <t xml:space="preserve">The date on which an accounting document is posted in the system. Determines the assignment to the posting period and fiscal year. May differ from the document date (invoice date). </t>
  </si>
  <si>
    <t>02.01.2026</t>
  </si>
  <si>
    <t>accounting date; posting date; booking date; financial posting date</t>
  </si>
  <si>
    <t>Prod.Hier.1</t>
  </si>
  <si>
    <t>PROD_HIER_1</t>
  </si>
  <si>
    <t>Product hierarchy level 1</t>
  </si>
  <si>
    <t>First (highest) level of the product hierarchy used for high-level product grouping. An alphanumeric character string that groups materials by overarching characteristics (e.g. product division).</t>
  </si>
  <si>
    <t>product hierarchy; product family; product division</t>
  </si>
  <si>
    <t>Prod.Hier.12</t>
  </si>
  <si>
    <t>PROD_HIER_12</t>
  </si>
  <si>
    <t>Product hierarchy level 1 (TEXT)</t>
  </si>
  <si>
    <t>Prod.Hier.2</t>
  </si>
  <si>
    <t>PROD_HIER_2</t>
  </si>
  <si>
    <t>Product hierarchy level 2</t>
  </si>
  <si>
    <t xml:space="preserve">Second level of the product hierarchy. Subdivides the first level into product categories. </t>
  </si>
  <si>
    <t>product category; product line; product hierarchy level 2</t>
  </si>
  <si>
    <t>Prod.Hier.22</t>
  </si>
  <si>
    <t>PROD_HIER_22</t>
  </si>
  <si>
    <t>Product hierarchy level 2 (TEXT)</t>
  </si>
  <si>
    <t>MDI PM</t>
  </si>
  <si>
    <t>Prod.Hier.3</t>
  </si>
  <si>
    <t>PROD_HIER_3</t>
  </si>
  <si>
    <t>Product hierarchy level 3</t>
  </si>
  <si>
    <t xml:space="preserve">Third level of the  product hierarchy. Represents the product subcategory or product type. </t>
  </si>
  <si>
    <t>100</t>
  </si>
  <si>
    <t>product type; product subgroup; hierarchy level 3</t>
  </si>
  <si>
    <t>Prod.Hier.32</t>
  </si>
  <si>
    <t>PROD_HIER_32</t>
  </si>
  <si>
    <t>Product hierarchy level 3 (TEXT)</t>
  </si>
  <si>
    <t>MDI PM POLYMER</t>
  </si>
  <si>
    <t>Prod.Hier.4</t>
  </si>
  <si>
    <t>PROD_HIER_4</t>
  </si>
  <si>
    <t>Product hierarchy level 4</t>
  </si>
  <si>
    <t>Fourth level of the product hierarchy used for more detailed product classifications.</t>
  </si>
  <si>
    <t>172</t>
  </si>
  <si>
    <t>product classification; product segment; hierarchy level 4</t>
  </si>
  <si>
    <t>Prod.Hier.42</t>
  </si>
  <si>
    <t>PROD_HIER_42</t>
  </si>
  <si>
    <t>Product hierarchy level 4 (TEXT)</t>
  </si>
  <si>
    <t>pMDI</t>
  </si>
  <si>
    <t>Prod.Hier.5</t>
  </si>
  <si>
    <t>PROD_HIER_5</t>
  </si>
  <si>
    <t>Product hierarchy level 5</t>
  </si>
  <si>
    <t>Fifth level of the product hierarchy used for more granular product group analyses (not used anymore)</t>
  </si>
  <si>
    <t>detailed product group; hierarchy level 5; fifth-level product grouping</t>
  </si>
  <si>
    <t>Prod.Hier.52</t>
  </si>
  <si>
    <t>PROD_HIER_52</t>
  </si>
  <si>
    <t>Product hierarchy level 5 (TEXT)</t>
  </si>
  <si>
    <t>70/04/100/172/Not as</t>
  </si>
  <si>
    <t>Prod.Hier.6</t>
  </si>
  <si>
    <t>PROD_HIER_6</t>
  </si>
  <si>
    <t>Product hierarchy level 6</t>
  </si>
  <si>
    <t>Sixth and lowest level of the product hierarchy at individual product or grade level for detailed product reporting. (not used anymore)</t>
  </si>
  <si>
    <t>product grade; SKU hierarchy; detailed product hierarchy</t>
  </si>
  <si>
    <t>Prod.Hier.62</t>
  </si>
  <si>
    <t>PROD_HIER_62</t>
  </si>
  <si>
    <t>Product hierarchy level 6 (TEXT)</t>
  </si>
  <si>
    <t>Produced Material</t>
  </si>
  <si>
    <t>PRODUCED_MATERIAL</t>
  </si>
  <si>
    <t>Produced material</t>
  </si>
  <si>
    <t>The material actually produced (finished product or semi-finished good) in the production process. May differ from the sold material (e.g. in case of repackaging or kitting). Relevant in the COSMOS consolidation process for the assignment of production costs. Remark: not all materials are assigned to a produced material (specific for certain business entities only)</t>
  </si>
  <si>
    <t>VARCHAR2(36)</t>
  </si>
  <si>
    <t>4203380</t>
  </si>
  <si>
    <t>NOT NULL, text/mixed, max length 18</t>
  </si>
  <si>
    <t>produced material; manufactured product; production material; made product</t>
  </si>
  <si>
    <t>Produced Material2</t>
  </si>
  <si>
    <t>PRODUCED_MATERIAL2</t>
  </si>
  <si>
    <t>Produced material (TEXT)</t>
  </si>
  <si>
    <t>MDI 44 V 20 L</t>
  </si>
  <si>
    <t>Region ship-to</t>
  </si>
  <si>
    <t>REGION_SHIP_TO</t>
  </si>
  <si>
    <t>Region of the ship-to party</t>
  </si>
  <si>
    <t>The geographic region (e.g. state, province) of the ship-to party. Derived from the customer address master and used for regional sales analyses.</t>
  </si>
  <si>
    <t>R3</t>
  </si>
  <si>
    <t>ship-to region; delivery region; destination region; customer delivery region; geography ship to; geographic region ship to; area ship to</t>
  </si>
  <si>
    <t>Region ship-to2</t>
  </si>
  <si>
    <t>REGION_SHIP_TO2</t>
  </si>
  <si>
    <t>Region of the ship-to party (TEXT)</t>
  </si>
  <si>
    <t>VARCHAR2(24)</t>
  </si>
  <si>
    <t>APAC</t>
  </si>
  <si>
    <t>NOT NULL, text/mixed, max length 12</t>
  </si>
  <si>
    <t>Region sold-to</t>
  </si>
  <si>
    <t>REGION_SOLD_TO</t>
  </si>
  <si>
    <t>Region of the sold-to party</t>
  </si>
  <si>
    <t>The geographic region of the sold-to party. Derived from the customer address master and used for regional sales analyses.</t>
  </si>
  <si>
    <t>sales region; customer region; market region; sold-to region; geography sold to; geographic region sold to; area sold to</t>
  </si>
  <si>
    <t>Region sold-to2</t>
  </si>
  <si>
    <t>REGION_SOLD_TO2</t>
  </si>
  <si>
    <t>Region of the sold-to party (TEXT)</t>
  </si>
  <si>
    <t>Reporting Unit, book</t>
  </si>
  <si>
    <t>REPORTING_UNIT__BOOK</t>
  </si>
  <si>
    <t>Reporting unit (booked)</t>
  </si>
  <si>
    <t>The reporting unit identical to the profit center (1:1 relationship). It serves as the reporting entity in internal and external reporting. Booked refers to the actual profit center assignment recorded at posting time. Reporting units are part of the SBE hierarchy in the profit center standard hierarchy tree.</t>
  </si>
  <si>
    <t>630</t>
  </si>
  <si>
    <t>reporting unit; profit center; reporting entity; business reporting unit</t>
  </si>
  <si>
    <t>Reporting Unit, book2</t>
  </si>
  <si>
    <t>REPORTING_UNIT__BOOK2</t>
  </si>
  <si>
    <t>Reporting unit (booked) (TEXT)</t>
  </si>
  <si>
    <t>MDI</t>
  </si>
  <si>
    <t>Risk Class</t>
  </si>
  <si>
    <t>RISK_CLASS</t>
  </si>
  <si>
    <t>Risk class</t>
  </si>
  <si>
    <t>Subordinate classification within a risk category. Indicates the severity or probability of occurrence of a risk. Used in the ICS and risk management process to prioritize control measures.</t>
  </si>
  <si>
    <t>N</t>
  </si>
  <si>
    <t>risk classification; customer risk class; credit risk class; risk level</t>
  </si>
  <si>
    <t>Risk Class2</t>
  </si>
  <si>
    <t>RISK_CLASS2</t>
  </si>
  <si>
    <t>Risk class (TEXT)</t>
  </si>
  <si>
    <t>VARCHAR2(44)</t>
  </si>
  <si>
    <t>New customer</t>
  </si>
  <si>
    <t>NOT NULL, text/mixed, max length 22</t>
  </si>
  <si>
    <t>SBE</t>
  </si>
  <si>
    <t>Strategic Business Entity</t>
  </si>
  <si>
    <t>A Strategic Business Entity (SBE) is a higher-level organizational unit that fulfills at least the criteria for a profit center and additionally has significant independence from other SBEs (own production, marketing, R&amp;D, dedicated assets). SBEs are part of the profit center standard hierarchy tree and are typically equated with "Strategic Planning Unit" or "Cash Generating Unit". Formal approval by Controlling, Strategy and Accounting is required.</t>
  </si>
  <si>
    <t>04</t>
  </si>
  <si>
    <t>strategic business entity; business unit; operating segment; strategic unit</t>
  </si>
  <si>
    <t>SBE2</t>
  </si>
  <si>
    <t>Strategic Business Entity (TEXT)</t>
  </si>
  <si>
    <t>VARCHAR2(64)</t>
  </si>
  <si>
    <t>NOT NULL, text/mixed, max length 32</t>
  </si>
  <si>
    <t>Sales Organization</t>
  </si>
  <si>
    <t>SALES_ORGANIZATION</t>
  </si>
  <si>
    <t>Sales organization</t>
  </si>
  <si>
    <t>The sales organization is the highest aggregation level for sales statistics in SAP SD. It is assigned to exactly one company code. All line items of a sales, delivery or billing document belong to a sales organization. Nomenclature begins with a 2-digit legal entity identifier; sideline organizations end with "98".</t>
  </si>
  <si>
    <t>I120</t>
  </si>
  <si>
    <t>sales organization; sales org; selling entity; commercial organization</t>
  </si>
  <si>
    <t>Sales Organization2</t>
  </si>
  <si>
    <t>SALES_ORGANIZATION2</t>
  </si>
  <si>
    <t>Sales organization (TEXT)</t>
  </si>
  <si>
    <t>Covestro (IN) Ltd.</t>
  </si>
  <si>
    <t>Ship-to</t>
  </si>
  <si>
    <t>SHIP_TO</t>
  </si>
  <si>
    <t>Ship-to party</t>
  </si>
  <si>
    <t xml:space="preserve">The partner to whom goods are physically delivered (partner function SH). May differ from the sold-to party. Delivery address, shipping conditions and goods recipient data are taken from the customer master. </t>
  </si>
  <si>
    <t>ship-to customer; consignee; delivery customer; receiving customer; recipient</t>
  </si>
  <si>
    <t>Ship-to2</t>
  </si>
  <si>
    <t>SHIP_TO2</t>
  </si>
  <si>
    <t>Ship-to party (TEXT)</t>
  </si>
  <si>
    <t>SUPREME TREON PRIVATE LIMITED</t>
  </si>
  <si>
    <t>ShipTo State/ Province</t>
  </si>
  <si>
    <t>SHIPTO_STATE__PROVINCE</t>
  </si>
  <si>
    <t>State / province of the ship-to party</t>
  </si>
  <si>
    <t>The state or province of the ship-to party from the address master. Relevant for tax assignments (e.g. US sales tax) and regional analyses.</t>
  </si>
  <si>
    <t>IN/MH</t>
  </si>
  <si>
    <t>ship-to state; delivery state; destination province; delivery region</t>
  </si>
  <si>
    <t>ShipTo State/ Province2</t>
  </si>
  <si>
    <t>SHIPTO_STATE__PROVINCE2</t>
  </si>
  <si>
    <t>State / province of the ship-to party (TEXT)</t>
  </si>
  <si>
    <t>Maharashtra</t>
  </si>
  <si>
    <t>Sold-to</t>
  </si>
  <si>
    <t>SOLD_TO</t>
  </si>
  <si>
    <t>Sold-to party</t>
  </si>
  <si>
    <t>The customer who places the order (partner function SP). Central business partner in the order-to-cash process. Pricing conditions, payment terms and customer hierarchies are derived from the sold-to party.</t>
  </si>
  <si>
    <t>customer; customer name; client; client name; account; ordering customer; sold-to customer</t>
  </si>
  <si>
    <t>Sold-to2</t>
  </si>
  <si>
    <t>SOLD_TO2</t>
  </si>
  <si>
    <t>Sold-to party (TEXT)</t>
  </si>
  <si>
    <t>SoldTo State/ Province</t>
  </si>
  <si>
    <t>SOLDTO_STATE__PROVINCE</t>
  </si>
  <si>
    <t>State / province of the sold-to party</t>
  </si>
  <si>
    <t>The state or province of the sold-to party from the address master. Relevant for tax and regional analyses.</t>
  </si>
  <si>
    <t>MH</t>
  </si>
  <si>
    <t>customer state; sold-to state; customer province; sales province</t>
  </si>
  <si>
    <t>SoldTo State/ Province2</t>
  </si>
  <si>
    <t>SOLDTO_STATE__PROVINCE2</t>
  </si>
  <si>
    <t>State / province of the sold-to party (TEXT)</t>
  </si>
  <si>
    <t>Subregion ship-to</t>
  </si>
  <si>
    <t>SUBREGION_SHIP_TO</t>
  </si>
  <si>
    <t>Subregion of the ship-to party</t>
  </si>
  <si>
    <t>An attribute that assigns the ship-to party to a geographic subregion below the main region (e.g. Eastern Europe as a subregion of Europe). Used for detailed geographic sales analyses.</t>
  </si>
  <si>
    <t>R34</t>
  </si>
  <si>
    <t>ship-to subregion; delivery subregion; destination subregion</t>
  </si>
  <si>
    <t>Subregion ship-to2</t>
  </si>
  <si>
    <t>SUBREGION_SHIP_TO2</t>
  </si>
  <si>
    <t>Subregion of the ship-to party (TEXT)</t>
  </si>
  <si>
    <t>INDIA SUBCONTINENT</t>
  </si>
  <si>
    <t>Subregion sold-to</t>
  </si>
  <si>
    <t>SUBREGION_SOLD_TO</t>
  </si>
  <si>
    <t>Subregion of the sold-to party</t>
  </si>
  <si>
    <t>An attribute that assigns the sold-to party to a geographic subregion. Analogous to Subregion ship-to, but referring to the sold-to party.</t>
  </si>
  <si>
    <t>sales subregion; customer subregion; market subregion</t>
  </si>
  <si>
    <t>Subregion sold-to2</t>
  </si>
  <si>
    <t>SUBREGION_SOLD_TO2</t>
  </si>
  <si>
    <t>Subregion of the sold-to party (TEXT)</t>
  </si>
  <si>
    <t>Unpacked good</t>
  </si>
  <si>
    <t>UNPACKED_GOOD</t>
  </si>
  <si>
    <t>Unpacked goods</t>
  </si>
  <si>
    <t>Indicator or description of whether delivered goods are transported unpackaged (e.g. as bulk goods or in tank trucks). Relevant for packaging classification, hazardous goods handling and sustainability reporting.</t>
  </si>
  <si>
    <t>4474503</t>
  </si>
  <si>
    <t>bulk material; unpackaged goods; bulk shipment; unpacked material</t>
  </si>
  <si>
    <t>Unpacked good2</t>
  </si>
  <si>
    <t>UNPACKED_GOOD2</t>
  </si>
  <si>
    <t>Unpacked goods (TEXT)</t>
  </si>
  <si>
    <t>DESMODUR VP.PU 1511 L</t>
  </si>
  <si>
    <t>KPI AR-KeyDate: Amount in EUR</t>
  </si>
  <si>
    <t>KPI_AR_KEYDATE__AMOUNT_IN_EUR</t>
  </si>
  <si>
    <t>AR receivables amount in EUR at key date</t>
  </si>
  <si>
    <t>The open receivables amount in EUR at a defined key date. Part of the accounts receivable key date reporting. Used for WoC and receivables stock analyses.</t>
  </si>
  <si>
    <t>NUMBER(10,2)</t>
  </si>
  <si>
    <t>10510,44</t>
  </si>
  <si>
    <t>NOT NULL, numeric, max prec/scale 10/2</t>
  </si>
  <si>
    <t>receivables; accounts receivable; AR balance; outstanding receivables; open invoices</t>
  </si>
  <si>
    <t>KPI AR-KeyDate: Counter</t>
  </si>
  <si>
    <t>KPI_AR_KEYDATE__COUNTER</t>
  </si>
  <si>
    <t>Number of line items at key date</t>
  </si>
  <si>
    <t>Number of open customer line items (receivable positions) at the defined key date. Serves as the volume basis for average value calculations in AR key date reporting.</t>
  </si>
  <si>
    <t>NUMBER(10,3)</t>
  </si>
  <si>
    <t>0,999</t>
  </si>
  <si>
    <t>NOT NULL, numeric, max prec/scale 10/3</t>
  </si>
  <si>
    <t>receivable count; invoice count; open item count; line item count</t>
  </si>
  <si>
    <t>KPI AR-KeyDate: Net Value of Billing Item (DC)</t>
  </si>
  <si>
    <t>KPI_AR_KEYDATE__NET_VALUE_OF_BILLING_DC</t>
  </si>
  <si>
    <t>Net value of billing item in document currency at key date</t>
  </si>
  <si>
    <t>The net value of an invoice line item in document currency (DC) at the key date. Starting figure for the calculation of weighted receivables KPIs such as WoC and WAT.</t>
  </si>
  <si>
    <t>NUMBER(12,2)</t>
  </si>
  <si>
    <t>976068,6</t>
  </si>
  <si>
    <t>NULL, numeric, max prec/scale 12/2</t>
  </si>
  <si>
    <t>invoice value; billing value; receivable value; invoice amount</t>
  </si>
  <si>
    <t>KPI AR-KeyDate: Weighted WoC Target days</t>
  </si>
  <si>
    <t>KPI_AR_KEYDATE__WEIGHTED_WOC_TARGET_DAYS</t>
  </si>
  <si>
    <t>Weighted WoC target days at key date</t>
  </si>
  <si>
    <t xml:space="preserve">The weighted target days for Weeks of Credit (WoC) at the key date, calculated on the basis of agreed payment terms. Used as a benchmark figure against actual outstanding days. The actual Weighted WoC Target days is calculated by dividing Weighted WoC Target days by Amount in EUR for each data point. </t>
  </si>
  <si>
    <t>NUMBER(21,14)</t>
  </si>
  <si>
    <t>630626,66</t>
  </si>
  <si>
    <t>NULL, numeric, max prec/scale 21/14</t>
  </si>
  <si>
    <t>WOC target; weeks of credit target; target credit days</t>
  </si>
  <si>
    <t>KPI AR-KeyDate: Weighted target days</t>
  </si>
  <si>
    <t>KPI_AR_KEYDATE__WEIGHTED_TARGET_DAYS</t>
  </si>
  <si>
    <t>Weighted target days at key date</t>
  </si>
  <si>
    <t xml:space="preserve">The amount-weighted contractual payment term days (target days) of all open receivable positions at the key date. Basis for the calculation of WAT (Weighted Average Terms). The actual weighted target days is calculated by dividing Weighted target days by Amount in EUR for each data point. </t>
  </si>
  <si>
    <t>NUMBER(11,2)</t>
  </si>
  <si>
    <t>472970</t>
  </si>
  <si>
    <t>NOT NULL, numeric, max prec/scale 11/2</t>
  </si>
  <si>
    <t>WAT target; payment target days; target payment terms</t>
  </si>
  <si>
    <t>Covestro Deutschland</t>
  </si>
  <si>
    <t>B</t>
  </si>
  <si>
    <t>Non core basic chem.</t>
  </si>
  <si>
    <t>DE</t>
  </si>
  <si>
    <t>Germany</t>
  </si>
  <si>
    <t>Not assigned</t>
  </si>
  <si>
    <t>1060</t>
  </si>
  <si>
    <t>PM IS SpecRaw +Trade</t>
  </si>
  <si>
    <t>DEE211</t>
  </si>
  <si>
    <t>ACHUD</t>
  </si>
  <si>
    <t>December 2025</t>
  </si>
  <si>
    <t>3A6</t>
  </si>
  <si>
    <t>SXBCEME</t>
  </si>
  <si>
    <t>Int. Sales office</t>
  </si>
  <si>
    <t>INT__SALES_OFFICE</t>
  </si>
  <si>
    <t>Internal sales office</t>
  </si>
  <si>
    <t>The internal sales office is assigned to one or more sales areas and can be subdivided into several sales groups.</t>
  </si>
  <si>
    <t>internal sales office; sales office; commercial office; selling organization</t>
  </si>
  <si>
    <t>Int. Sales office2</t>
  </si>
  <si>
    <t>INT__SALES_OFFICE2</t>
  </si>
  <si>
    <t>Internal sales office (TEXT)</t>
  </si>
  <si>
    <t>Chemical</t>
  </si>
  <si>
    <t>Stockmeier Holding SE</t>
  </si>
  <si>
    <t>E70</t>
  </si>
  <si>
    <t>PM Sales EMLA</t>
  </si>
  <si>
    <t>PM RPM BC EMLA</t>
  </si>
  <si>
    <t>PM MB 1 EMEA</t>
  </si>
  <si>
    <t>E090</t>
  </si>
  <si>
    <t>PM Trading / Dis.</t>
  </si>
  <si>
    <t>HYDROCHLORIC ACID 31 %   0000,00 KG T01</t>
  </si>
  <si>
    <t>04.01.2026</t>
  </si>
  <si>
    <t>BC</t>
  </si>
  <si>
    <t>BYPN</t>
  </si>
  <si>
    <t>PRD IO  ELECTR UER</t>
  </si>
  <si>
    <t>05.12.2025</t>
  </si>
  <si>
    <t>BASIC CHEMICALS</t>
  </si>
  <si>
    <t>101</t>
  </si>
  <si>
    <t>HYDROCLORICACID</t>
  </si>
  <si>
    <t>576</t>
  </si>
  <si>
    <t>HYDROCLORICACID 30%</t>
  </si>
  <si>
    <t>76/61/101/576/Not as</t>
  </si>
  <si>
    <t>5451159</t>
  </si>
  <si>
    <t>HYDROCHLORIC ACID 31%</t>
  </si>
  <si>
    <t>R1</t>
  </si>
  <si>
    <t>EMEA</t>
  </si>
  <si>
    <t>Indicates the severity or probability of occurrence of a risk. Used in the ICS and risk management process to prioritize control measures.</t>
  </si>
  <si>
    <t>70/Not assigned</t>
  </si>
  <si>
    <t>BY20</t>
  </si>
  <si>
    <t>COV Deutschland AG</t>
  </si>
  <si>
    <t>Stockmeier Chemie GmbH &amp; Co. KG</t>
  </si>
  <si>
    <t>DE/05</t>
  </si>
  <si>
    <t>Nrth Rhine Westfalia</t>
  </si>
  <si>
    <t>05</t>
  </si>
  <si>
    <t>R11</t>
  </si>
  <si>
    <t>WEST EUROPE</t>
  </si>
  <si>
    <t>KPI AR-PM: Amount EUR</t>
  </si>
  <si>
    <t>KPI_AR_PM__AMOUNT_EUR</t>
  </si>
  <si>
    <t>Receivables amount in EUR (performance monitoring)</t>
  </si>
  <si>
    <t>The receivables amount in EUR within the AR Performance Monitoring (AR-PM). Period-related figure for evaluating receivables performance.</t>
  </si>
  <si>
    <t>1298,27</t>
  </si>
  <si>
    <t>receivables amount; AR amount; outstanding balance</t>
  </si>
  <si>
    <t>KPI AR-PM: Counter</t>
  </si>
  <si>
    <t>KPI_AR_PM__COUNTER</t>
  </si>
  <si>
    <t>Number of line items (performance monitoring)</t>
  </si>
  <si>
    <t>Number of customer line items in AR Performance Monitoring. Volume basis for weighted average KPIs in AR period reporting.</t>
  </si>
  <si>
    <t>item count; invoice count; receivable count</t>
  </si>
  <si>
    <t>KPI AR-PM: Diff WoC Target</t>
  </si>
  <si>
    <t>KPI_AR_PM__DIFF_WOC_TARGET</t>
  </si>
  <si>
    <t>WoC deviation from target</t>
  </si>
  <si>
    <t>The difference between actual WoC (Weeks of Credit) and the target value. Positive value = payment term exceeded; negative value = payment term undercut. Operational control indicator for receivables management.</t>
  </si>
  <si>
    <t>NUMBER(9)</t>
  </si>
  <si>
    <t>NOT NULL, integer only, max abs value 24900</t>
  </si>
  <si>
    <t>WOC deviation; variance to target WoC; credit term variance; week of credit deviation</t>
  </si>
  <si>
    <t>KPI AR-PM: EDO (Effective Days Outstanding)</t>
  </si>
  <si>
    <t>KPI_AR_PM__EDO__EFFECTIVE_DAYS_OUTSTANDING</t>
  </si>
  <si>
    <t>Effective days outstanding</t>
  </si>
  <si>
    <t xml:space="preserve">EDO = WAT + WDD. Indicates the actual weighted outstanding days, i.e. the sum of the agreed payment terms (WAT) and the average delay (WDD). Corresponds to the operational DSO (Days Sales Outstanding). </t>
  </si>
  <si>
    <t>NUMBER(17,14)</t>
  </si>
  <si>
    <t>33,84</t>
  </si>
  <si>
    <t>NOT NULL, numeric, max prec/scale 17/14</t>
  </si>
  <si>
    <t>EDO; days outstanding; operational DSO; collection days</t>
  </si>
  <si>
    <t>KPI AR-PM: Performance Days</t>
  </si>
  <si>
    <t>KPI_AR_PM__PERFORMANCE_DAYS</t>
  </si>
  <si>
    <t>Performance days</t>
  </si>
  <si>
    <t>The total number of days a receivable was actually open, taking into account all influencing factors (WAT + WDD + Posting Days). Represents the total weighted duration from invoice creation through payment realization including administrative processing delays. Overall evaluation measure of AR performance.</t>
  </si>
  <si>
    <t>performance days; AR time performance; collection duration</t>
  </si>
  <si>
    <t>KPI AR-PM: Posting Days</t>
  </si>
  <si>
    <t>KPI_AR_PM__POSTING_DAYS</t>
  </si>
  <si>
    <t>Posting days</t>
  </si>
  <si>
    <t>The number of days between the invoice date and the actual posting date in the system. Provides insight into internal posting delays that affect AR performance. Reported separately to distinguish administrative delays from actual payment delays.</t>
  </si>
  <si>
    <t>NUMBER(15,14)</t>
  </si>
  <si>
    <t>NOT NULL, numeric, max prec/scale 15/14</t>
  </si>
  <si>
    <t>posting delay; processing days; posting duration</t>
  </si>
  <si>
    <t>KPI AR-PM: WAT Receivables</t>
  </si>
  <si>
    <t>KPI_AR_PM__WAT_RECEIVABLES</t>
  </si>
  <si>
    <t>Weighted average payment terms (receivables)</t>
  </si>
  <si>
    <t>WAT = Weighted Average Terms. Indicates the amount-weighted contractual payment term days of all open receivables in a period. Example: WAT of 86.4 days means that payment terms of 86.4 days were agreed on average. A strategic KPI in Working Capital Management.</t>
  </si>
  <si>
    <t>36,25</t>
  </si>
  <si>
    <t>WAT; weighted average terms; payment terms; average payment period</t>
  </si>
  <si>
    <t>KPI AR-PM: WDD (Weighted Delay Days)</t>
  </si>
  <si>
    <t>KPI_AR_PM__WDD__WEIGHTED_DELAY_DAYS</t>
  </si>
  <si>
    <t>Weighted delay days</t>
  </si>
  <si>
    <t>WDD = Weighted Delay Days. Indicates the amount-weighted average days of delay beyond the agreed payment term. A WDD of 5.2 days means that customers pay on average 5.2 days after the due date. An operational KPI in the Working Capital Framework. Formula: EDO − WAT = WDD.</t>
  </si>
  <si>
    <t>-2,42</t>
  </si>
  <si>
    <t>WDD; payment delay; overdue days; collection delay</t>
  </si>
  <si>
    <t>Other Systems</t>
  </si>
  <si>
    <t>Covestro Ltd./UK</t>
  </si>
  <si>
    <t>O</t>
  </si>
  <si>
    <t>Non core others</t>
  </si>
  <si>
    <t>NL</t>
  </si>
  <si>
    <t>Netherlands</t>
  </si>
  <si>
    <t>15</t>
  </si>
  <si>
    <t>Other Industries</t>
  </si>
  <si>
    <t>770</t>
  </si>
  <si>
    <t>Sideline Business</t>
  </si>
  <si>
    <t>77000</t>
  </si>
  <si>
    <t>DE5999</t>
  </si>
  <si>
    <t>SALESREP GLOBAL</t>
  </si>
  <si>
    <t>599</t>
  </si>
  <si>
    <t>SALESGROUP GLOBAL</t>
  </si>
  <si>
    <t>1D70</t>
  </si>
  <si>
    <t>SLB CORE 1751 (UK)</t>
  </si>
  <si>
    <t>2090571</t>
  </si>
  <si>
    <t>Covestro AG</t>
  </si>
  <si>
    <t>Other</t>
  </si>
  <si>
    <t>M77</t>
  </si>
  <si>
    <t>D777</t>
  </si>
  <si>
    <t>MARKETING COST REIMBURSEMENT (BT23)</t>
  </si>
  <si>
    <t>External SLB</t>
  </si>
  <si>
    <t>1DS1</t>
  </si>
  <si>
    <t>SLB CAS SYSTEMS UK</t>
  </si>
  <si>
    <t>GLOBAL SIDELINE BUSI</t>
  </si>
  <si>
    <t>NG9</t>
  </si>
  <si>
    <t>SERVICES</t>
  </si>
  <si>
    <t>N45</t>
  </si>
  <si>
    <t>NON BT21 SERVICES</t>
  </si>
  <si>
    <t>76/62/NG9/N45/Not as</t>
  </si>
  <si>
    <t>910</t>
  </si>
  <si>
    <t>IC Transactions SLB</t>
  </si>
  <si>
    <t>62</t>
  </si>
  <si>
    <t>SLB</t>
  </si>
  <si>
    <t>1D98</t>
  </si>
  <si>
    <t>Covestro UK Ltd SLB</t>
  </si>
  <si>
    <t>Covestro (Netherlands) B.V.</t>
  </si>
  <si>
    <t>x</t>
  </si>
  <si>
    <t>KPI COPA: Gross Sales Qty</t>
  </si>
  <si>
    <t>KPI_COPA__GROSS_SALES_QTY</t>
  </si>
  <si>
    <t>Gross sales quantity (CO-PA)</t>
  </si>
  <si>
    <t>The total invoiced quantity (in KG) before deduction of credit memos and returns, as recorded in SAP Profitability Analysis (CO-PA). Starting figure of the CO-PA revenue calculation.</t>
  </si>
  <si>
    <t>0</t>
  </si>
  <si>
    <t>gross sales volume; quantity sold; sales volume COPA; shipped volume; kilograms sold COPA; invoiced quantity</t>
  </si>
  <si>
    <t>KPI COPA: Gross sales</t>
  </si>
  <si>
    <t>KPI_COPA__GROSS_SALES</t>
  </si>
  <si>
    <t>Gross sales (CO-PA)</t>
  </si>
  <si>
    <t>The total invoiced revenue (gross revenues) before deduction of discounts, bonuses and other revenue deductions, recorded in CO-PA. Starting point of the revenue calculation in the contribution margin scheme.</t>
  </si>
  <si>
    <t>14365,35</t>
  </si>
  <si>
    <t>gross sales; gross revenue; invoiced revenue; topline before deductions</t>
  </si>
  <si>
    <t>KPI COPA: Net proceeds</t>
  </si>
  <si>
    <t>KPI_COPA__NET_PROCEEDS</t>
  </si>
  <si>
    <t>Net proceeds (CO-PA)</t>
  </si>
  <si>
    <t>Net Sales less sales adjustments, represents revenue after application of sales deductions and sales adjustments within CO-PA reporting.</t>
  </si>
  <si>
    <t>net proceeds; proceeds; realized revenue</t>
  </si>
  <si>
    <t>KPI COPA: Net sales</t>
  </si>
  <si>
    <t>KPI_COPA__NET_SALES</t>
  </si>
  <si>
    <t>Net sales (CO-PA)</t>
  </si>
  <si>
    <t xml:space="preserve">Gross Sales less sales deductions. </t>
  </si>
  <si>
    <t>revenue; net revenue; sales; turnover</t>
  </si>
  <si>
    <t>KPI COPA: Sales adjustments</t>
  </si>
  <si>
    <t>KPI_COPA__SALES_ADJUSTMENTS</t>
  </si>
  <si>
    <t>Sales adjustments (CO-PA)</t>
  </si>
  <si>
    <t>Correction postings to revenue in CO-PA, e.g. quantity corrections, price corrections of retrospectively posted conditions or periodic revaluations. Reported between Net Proceeds and Net Sales.</t>
  </si>
  <si>
    <t>revenue adjustments; sales corrections; price adjustments</t>
  </si>
  <si>
    <t>KPI COPA: Sales deductions</t>
  </si>
  <si>
    <t>KPI_COPA__SALES_DEDUCTIONS</t>
  </si>
  <si>
    <t>Sales deductions (CO-PA)</t>
  </si>
  <si>
    <t xml:space="preserve">All deductions from gross sales in CO-PA, e.g. customer discounts, volume discounts, bonuses, cash discounts and commissions. </t>
  </si>
  <si>
    <t>discounts; rebates; bonuses; sales deductions</t>
  </si>
  <si>
    <t>Calendar Day</t>
  </si>
  <si>
    <t>CALENDAR_DAY</t>
  </si>
  <si>
    <t>Calendar day</t>
  </si>
  <si>
    <t>A single calendar day, used as a characteristic/dimension in time-series reports. Serves for day-level aggregation or selection of data, e.g. in delivery performance or accounts receivable reporting.</t>
  </si>
  <si>
    <t>date; calendar day; reporting date; day; transaction date</t>
  </si>
  <si>
    <t>Exchange rate effect</t>
  </si>
  <si>
    <t>EXCHANGE_RATE_EFFECT</t>
  </si>
  <si>
    <t>The effect arising from exchange rate fluctuations between the document currency and the reporting currency (e.g. EUR). Relevant in revenue and margin reporting when revenues in foreign currency are converted to EUR. In COSMOS and CO-PA reporting, the exchange rate effect is explicitly reported as a separate figure.</t>
  </si>
  <si>
    <t>284,01</t>
  </si>
  <si>
    <t>FX effect; foreign exchange impact; currency impact; exchange gain/loss; currency effect</t>
  </si>
  <si>
    <t>IN01</t>
  </si>
  <si>
    <t>COV India</t>
  </si>
  <si>
    <t>SUPREME NONWOVEN IND</t>
  </si>
  <si>
    <t>70/630</t>
  </si>
  <si>
    <t>Covestro (IN) Ltd,</t>
  </si>
  <si>
    <t>KPI COSMOS: Consolidated Marginal Income II a</t>
  </si>
  <si>
    <t>KPI_COSMOS__CONSOLIDATED_MARGIN_IIa</t>
  </si>
  <si>
    <t>Consolidated marginal income II a (COSMOS)</t>
  </si>
  <si>
    <t>Consolidated Marginal Income I less  fix Total Manufacturing Costs, represents profitability after considering fixed manufacturing costs.</t>
  </si>
  <si>
    <t>2189,23</t>
  </si>
  <si>
    <t>MI2a; marginal income II; margin after fixed costs; consolidated margin IIa; steering margin II</t>
  </si>
  <si>
    <t>KPI COSMOS: Consolidated Marginal Income I</t>
  </si>
  <si>
    <t>KPI_COSMOS__CONSOLIDATED_MARGIN_I</t>
  </si>
  <si>
    <t>Consolidated marginal income I (COSMOS)</t>
  </si>
  <si>
    <t>Net proceeds less variable product Costs. Central steering indicator for portfolio decisions and pricing (DICE process).</t>
  </si>
  <si>
    <t>3239,07</t>
  </si>
  <si>
    <t>MI1; marginal income 1; contribution margin 1; CM1; margin 1</t>
  </si>
  <si>
    <t>KPI COSMOS: Gross Sales</t>
  </si>
  <si>
    <t>KPI_COSMOS__GROSS_SALES</t>
  </si>
  <si>
    <t>Gross sales (COSMOS)</t>
  </si>
  <si>
    <t>Gross sales on a consolidated COSMOS basis. Corresponds to the invoiced revenue from external sales (approx. 99% of total sales) before sales deductions are subtracted. Based on CO-PA data, enriched by COSMOS consolidation logic.</t>
  </si>
  <si>
    <t>8563,05</t>
  </si>
  <si>
    <t>gross sales COSMOS; gross revenue; consolidated revenue</t>
  </si>
  <si>
    <t>KPI COSMOS: Gross Sales Qty (in+ex)</t>
  </si>
  <si>
    <t>KPI_COSMOS__GROSS_SALES_QTY__IN_EX</t>
  </si>
  <si>
    <t>Gross sales quantity internal + external (COSMOS)</t>
  </si>
  <si>
    <t>The total quantity (in KG) of all sales on a COSMOS basis, including internal (intercompany) and external deliveries. "in+ex" stands for internal + external. Used as the volume basis for the calculation of unit costs (e.g. Product Costs, Var./KG).</t>
  </si>
  <si>
    <t>4637,06</t>
  </si>
  <si>
    <t>sales volume; quantity sold; volume; kilograms sold COSMOS</t>
  </si>
  <si>
    <t>KPI COSMOS: Net Proceeds</t>
  </si>
  <si>
    <t>KPI_COSMOS__NET_PROCEEDS</t>
  </si>
  <si>
    <t>Net proceeds (COSMOS)</t>
  </si>
  <si>
    <t>Net sales less sales adjustments on a consolidated COSMOS basis, represents revenue after application of sales deductions and sales adjustments</t>
  </si>
  <si>
    <t>8430,21</t>
  </si>
  <si>
    <t>net proceeds; contribution revenue; adjusted revenue</t>
  </si>
  <si>
    <t>KPI COSMOS: Net Sales</t>
  </si>
  <si>
    <t>KPI_COSMOS__NET_SALES</t>
  </si>
  <si>
    <t>Net sales (COSMOS)</t>
  </si>
  <si>
    <t>Gross sales less Sales deductions on a COSMOS basis. Corresponds to the final net sales after all revenue deductions and corrections in the consolidated margin reporting.</t>
  </si>
  <si>
    <t>net sales; revenue; consolidated net revenue</t>
  </si>
  <si>
    <t>KPI COSMOS: Product Costs, Var.</t>
  </si>
  <si>
    <t>KPI_COSMOS__PRODUCT_COSTS__VAR</t>
  </si>
  <si>
    <t>Variable product costs (COSMOS)</t>
  </si>
  <si>
    <t>The consolidated variable production costs from COSMOS. Include direct material costs (DMC), variable direct product costs (DPC,var) as well as variable services and activities along the value chain.</t>
  </si>
  <si>
    <t>5191,14</t>
  </si>
  <si>
    <t>variable costs; production costs; variable product costs; variable manufacturing costs</t>
  </si>
  <si>
    <t>KPI COSMOS: Sales Adjustments</t>
  </si>
  <si>
    <t>KPI_COSMOS__SALES_ADJUSTMENTS</t>
  </si>
  <si>
    <t>Sales adjustments (COSMOS)</t>
  </si>
  <si>
    <t>Correction postings to revenue on a COSMOS basis. Corresponds in content to the CO-PA Sales Adjustments, but in the consolidated COSMOS context. Reported between Net Proceeds and Net Sales.</t>
  </si>
  <si>
    <t>132,84</t>
  </si>
  <si>
    <t>sales adjustments; revenue corrections; post-invoice corrections; revenue true-ups; billing corrections</t>
  </si>
  <si>
    <t>KPI COSMOS: Sales Deductions</t>
  </si>
  <si>
    <t>KPI_COSMOS__SALES_DEDUCTIONS</t>
  </si>
  <si>
    <t>Sales deductions (COSMOS)</t>
  </si>
  <si>
    <t>Sales deductions on a consolidated COSMOS basis. Originate from the unconsolidated CO-PA dataset (discounts, bonuses, cash discounts, commissions) and flow unchanged into the COSMOS calculation.</t>
  </si>
  <si>
    <t>discounts; rebates; deductions</t>
  </si>
  <si>
    <t>KPI COSMOS: Total Manufacturing Costs, Fix</t>
  </si>
  <si>
    <t>KPI_COSMOS__TOTAL_MANUFACTURING</t>
  </si>
  <si>
    <t>Total fixed manufacturing costs (COSMOS)</t>
  </si>
  <si>
    <t>The consolidated fixed production costs (DPC,fixed) of all client companies involved in manufacturing. Include fixed direct product costs along the entire internal value chain (Manufacturing Company A → B → Sales Company C). Relevant for the calculation of consolidated marginal income II (MI2).</t>
  </si>
  <si>
    <t>1049,84</t>
  </si>
  <si>
    <t>fixed manufacturing cost; fixed production cost; fixed costs</t>
  </si>
  <si>
    <t>Act. GI Day</t>
  </si>
  <si>
    <t>ACT__GI_DAY</t>
  </si>
  <si>
    <t>Actual goods issue date</t>
  </si>
  <si>
    <t>The actual date on which goods were physically issued (posted) from the warehouse. Differs from the planned goods issue date (Plan. goods is. date), which is calculated in advance based on delivery scheduling. The Actual GI Date is set by the system when the Post Goods Issue movement is posted.</t>
  </si>
  <si>
    <t>actual goods issue date; GI date; goods issue date; shipment date; dispatch date; actual shipment date; warehouse release date</t>
  </si>
  <si>
    <t>EP</t>
  </si>
  <si>
    <t>Carrier</t>
  </si>
  <si>
    <t>CARRIER</t>
  </si>
  <si>
    <t>Carrier / freight forwarder</t>
  </si>
  <si>
    <t>The logistics service provider (carrier) that executes the transport. The carrier is managed as a business partner and assigned to a freight order. Relevant for transport performance analysis and OTIF evaluations.</t>
  </si>
  <si>
    <t>carrier; freight forwarder; logistics provider; transporter; shipping company; transport vendor</t>
  </si>
  <si>
    <t>Carrier2</t>
  </si>
  <si>
    <t>CARRIER2</t>
  </si>
  <si>
    <t>Carrier / freight forwarder (TEXT)</t>
  </si>
  <si>
    <t>PROWAY LOGISTICS PRI</t>
  </si>
  <si>
    <t>Delivery plant</t>
  </si>
  <si>
    <t>DELIVERY_PLANT</t>
  </si>
  <si>
    <t>Delivering plant</t>
  </si>
  <si>
    <t>The plant from which the delivery to the customer is made. Recorded in the outbound delivery document and serves as an organizational element for warehouse logistics and production planning. Also determines the shipping point.</t>
  </si>
  <si>
    <t>I1BU</t>
  </si>
  <si>
    <t>delivery plant; shipping plant; supplying plant; distribution center; dispatch plant</t>
  </si>
  <si>
    <t>Delivery plant2</t>
  </si>
  <si>
    <t>DELIVERY_PLANT2</t>
  </si>
  <si>
    <t>Delivering plant (TEXT)</t>
  </si>
  <si>
    <t>DC SRIPERUMBUDUR 2</t>
  </si>
  <si>
    <t>BRL042</t>
  </si>
  <si>
    <t>MBAVX</t>
  </si>
  <si>
    <t>J16</t>
  </si>
  <si>
    <t>CVDJD</t>
  </si>
  <si>
    <t>Leg transp. Chain</t>
  </si>
  <si>
    <t>LEG_TRANSP__CHAIN</t>
  </si>
  <si>
    <t>Transport chain leg</t>
  </si>
  <si>
    <t>A "leg" denotes a single segment within a multi-stage transportation chain. Transports can consist of multiple legs (e.g. pre-carriage by truck, main carriage by sea, on-carriage by rail). Each leg has its own origin/destination locations, carrier and time windows.</t>
  </si>
  <si>
    <t>transport leg; logistics leg; shipment segment; transportation stage</t>
  </si>
  <si>
    <t>Leg transp. Chain2</t>
  </si>
  <si>
    <t>LEG_TRANSP__CHAIN2</t>
  </si>
  <si>
    <t>Transport chain leg (TEXT)</t>
  </si>
  <si>
    <t>Loading Country</t>
  </si>
  <si>
    <t>LOADING_COUNTRY</t>
  </si>
  <si>
    <t>Loading country</t>
  </si>
  <si>
    <t>The country in which the goods are loaded (country of origin of the transport). Relevant for foreign trade statistics, Intrastat declarations and customs processing.</t>
  </si>
  <si>
    <t>loading country; shipping origin country; export country; country of origin</t>
  </si>
  <si>
    <t>Loading Country2</t>
  </si>
  <si>
    <t>LOADING_COUNTRY2</t>
  </si>
  <si>
    <t>Loading country (TEXT)</t>
  </si>
  <si>
    <t>Loading location</t>
  </si>
  <si>
    <t>LOADING_LOCATION</t>
  </si>
  <si>
    <t>The specific location (plant, warehouse, port) from which goods are loaded. Used in transportation management as the source location and influences route planning.</t>
  </si>
  <si>
    <t>VARCHAR2(26)</t>
  </si>
  <si>
    <t>IN/IN_I1BU</t>
  </si>
  <si>
    <t>NOT NULL, text/mixed, max length 13</t>
  </si>
  <si>
    <t>loading point; shipping location; dispatch location; warehouse location</t>
  </si>
  <si>
    <t>Loading location2</t>
  </si>
  <si>
    <t>LOADING_LOCATION2</t>
  </si>
  <si>
    <t>Loading location (TEXT)</t>
  </si>
  <si>
    <t>VARCHAR2(60)</t>
  </si>
  <si>
    <t>Coc DC SRIPERUMBUDUR 2</t>
  </si>
  <si>
    <t>NOT NULL, text/mixed, max length 30</t>
  </si>
  <si>
    <t>447716</t>
  </si>
  <si>
    <t>Inabata &amp; Co.Ltd.</t>
  </si>
  <si>
    <t>M73</t>
  </si>
  <si>
    <t>EP Mobility</t>
  </si>
  <si>
    <t>EP MOB BP</t>
  </si>
  <si>
    <t>A268</t>
  </si>
  <si>
    <t>M.2407C         010806            BK150W</t>
  </si>
  <si>
    <t>Mode of transport</t>
  </si>
  <si>
    <t>MODE_OF_TRANSPORT</t>
  </si>
  <si>
    <t>The mode of transport describes the type of means of transport used (e.g. road, rail, sea, air). Managed in SAP TM as "Transportation Mode Code". Relevant for route planning, freight cost calculation and sustainability reporting.</t>
  </si>
  <si>
    <t>NOT NULL, integer only, max abs value 80</t>
  </si>
  <si>
    <t>transport mode; shipping mode; transportation method; freight mode</t>
  </si>
  <si>
    <t>Mode of transport2</t>
  </si>
  <si>
    <t>MODE_OF_TRANSPORT2</t>
  </si>
  <si>
    <t>Mode of transport (TEXT)</t>
  </si>
  <si>
    <t>VARCHAR2(20)</t>
  </si>
  <si>
    <t>Truck</t>
  </si>
  <si>
    <t>NOT NULL, text/mixed, max length 10</t>
  </si>
  <si>
    <t>EP Resins</t>
  </si>
  <si>
    <t>RESINS</t>
  </si>
  <si>
    <t>626</t>
  </si>
  <si>
    <t>MAKROLON FOR IM - DR</t>
  </si>
  <si>
    <t>903</t>
  </si>
  <si>
    <t>IM DS OPAQUE</t>
  </si>
  <si>
    <t>73/31/626/903/Not as</t>
  </si>
  <si>
    <t>86834251</t>
  </si>
  <si>
    <t>M.2407C         010806</t>
  </si>
  <si>
    <t>73/060</t>
  </si>
  <si>
    <t>31</t>
  </si>
  <si>
    <t>INABATA INDIA PRIVATE LIMITED</t>
  </si>
  <si>
    <t>TN</t>
  </si>
  <si>
    <t>Tamil Nadu</t>
  </si>
  <si>
    <t>T3 Arr. Date planned</t>
  </si>
  <si>
    <t>T3_ARR__DATE_PLANNED</t>
  </si>
  <si>
    <t>T3 planned arrival date</t>
  </si>
  <si>
    <t>The planned arrival date according to the T3 tracking system. Compared against the actual arrival to identify punctuality deviations.</t>
  </si>
  <si>
    <t>03.01.2026</t>
  </si>
  <si>
    <t>planned arrival date; expected arrival date; scheduled arrival</t>
  </si>
  <si>
    <t>T3 Arr. date actual</t>
  </si>
  <si>
    <t>T3_ARR__DATE_ACTUAL</t>
  </si>
  <si>
    <t>T3 actual arrival date</t>
  </si>
  <si>
    <t>The actual arrival date in the T3 tracking system (third-party logistics tracking tool integrated with SAP TM). Indicates when the shipment actually arrived at the destination. Used for OTIF and transport performance analyses.</t>
  </si>
  <si>
    <t>actual arrival date; actual transport arrival; shipment arrival date</t>
  </si>
  <si>
    <t>T3 Loading Loc. ROI</t>
  </si>
  <si>
    <t>T3_LOADING_LOC__ROI</t>
  </si>
  <si>
    <t>T3 loading location ROI</t>
  </si>
  <si>
    <t>The loading location stored in the T3 system with ROI reference (Region of Interest). Used for tracking and transport analyses within the logistics network.</t>
  </si>
  <si>
    <t>IN IN_I1BU</t>
  </si>
  <si>
    <t>loading ROI; loading location ROI; transport loading point</t>
  </si>
  <si>
    <t>T3 Loading Loc. ROI2</t>
  </si>
  <si>
    <t>T3_LOADING_LOC__ROI2</t>
  </si>
  <si>
    <t>T3 loading location ROI (TEXT)</t>
  </si>
  <si>
    <t>T3 SH Shipper</t>
  </si>
  <si>
    <t>T3_SH_SHIPPER</t>
  </si>
  <si>
    <t>T3 shipper</t>
  </si>
  <si>
    <t>The shipper stored in the T3 tracking system. Identifies the dispatching location or dispatching company within the transport chain.</t>
  </si>
  <si>
    <t>shipper; shipping party; dispatching party</t>
  </si>
  <si>
    <t>T3 SH Shipper2</t>
  </si>
  <si>
    <t>T3_SH_SHIPPER2</t>
  </si>
  <si>
    <t>T3 shipper (TEXT)</t>
  </si>
  <si>
    <t>TM Destin. Location</t>
  </si>
  <si>
    <t>TM_DESTIN__LOCATION</t>
  </si>
  <si>
    <t>TM destination location</t>
  </si>
  <si>
    <t>The destination location of a freight order in SAP Transportation Management. Indicates the physical receiving location of a delivery (e.g. customer warehouse, port, transshipment point).</t>
  </si>
  <si>
    <t>C_0011226375</t>
  </si>
  <si>
    <t>destination location; receiving location; delivery destination</t>
  </si>
  <si>
    <t>TM Destin. Location2</t>
  </si>
  <si>
    <t>TM_DESTIN__LOCATION2</t>
  </si>
  <si>
    <t>TM destination location (TEXT)</t>
  </si>
  <si>
    <t>KPI OTIF: # OTIF</t>
  </si>
  <si>
    <t>KPI_OTIF____OTIF</t>
  </si>
  <si>
    <t>Number of OTIF-compliant deliveries</t>
  </si>
  <si>
    <t>Number of deliveries that were delivered both on time and in full quantity. Numerator for the OTIF rate. A delivery is only considered OTIF if both conditions are fulfilled simultaneously.</t>
  </si>
  <si>
    <t>1,31</t>
  </si>
  <si>
    <t>NULL, numeric, max prec/scale 10/3</t>
  </si>
  <si>
    <t>OTIF deliveries; compliant deliveries; successful deliveries, OTIF compliant</t>
  </si>
  <si>
    <t>KPI OTIF: # late GI</t>
  </si>
  <si>
    <t>KPI_OTIF____LATE_GI</t>
  </si>
  <si>
    <t>Number of deliveries with late goods issue</t>
  </si>
  <si>
    <t>Number of deliveries where the actual goods issue (Actual GI Date) occurred after the planned goods issue date (Plan. goods is. date). Identifies delays in the internal dispatch process as a root cause of OTIF deviations.</t>
  </si>
  <si>
    <t>0,96</t>
  </si>
  <si>
    <t>deliveries with GI delay; goods issue delay; shipped late from warehouse; late dispatch</t>
  </si>
  <si>
    <t>KPI OTIF: # late IF</t>
  </si>
  <si>
    <t>KPI_OTIF____LATE_IF</t>
  </si>
  <si>
    <t>Number of late and complete deliveries</t>
  </si>
  <si>
    <t xml:space="preserve">Number of deliveries that were late and delivered in full quantity. </t>
  </si>
  <si>
    <t>late in full; delayed complete deliveries; late but complete deliveries; on-time miss with full quantity</t>
  </si>
  <si>
    <t>KPI OTIF: # late NIF</t>
  </si>
  <si>
    <t>KPI_OTIF____LATE_NIF</t>
  </si>
  <si>
    <t>Number of late and not-in-full deliveries (NIF)</t>
  </si>
  <si>
    <t>Number of deliveries that were late and not delivered in full quantity (Not In Full). NIF = Not In Full. Sub-category for combined quantity and schedule deviations in OTIF reporting. Worst-case category in the OTIF framework.</t>
  </si>
  <si>
    <t>1,13</t>
  </si>
  <si>
    <t>late not in full; delayed incomplete deliveries; late and short deliveries; double miss deliveries</t>
  </si>
  <si>
    <t>KPI OTIF: # late create</t>
  </si>
  <si>
    <t>KPI_OTIF____LATE_CREATE</t>
  </si>
  <si>
    <t>Number of deliveries with late order creation</t>
  </si>
  <si>
    <t>Number of deliveries where order creation (Order Creation) occurred too late and thereby contributed to the overall delay. Identifies administrative delays in order management as an OTIF root cause.</t>
  </si>
  <si>
    <t>1,32</t>
  </si>
  <si>
    <t>deliveries with order creation delay; deliveries with late order creation; late order booking; order creation lag</t>
  </si>
  <si>
    <t>KPI OTIF: # late transport</t>
  </si>
  <si>
    <t>KPI_OTIF____LATE_TRANSPORT</t>
  </si>
  <si>
    <t>Number of deliveries with transport delay</t>
  </si>
  <si>
    <t>Number of deliveries where transport (carrier/freight forwarder) was identified as the cause of the delay. Used for transport service provider evaluation and carrier performance analysis.</t>
  </si>
  <si>
    <t>1,36</t>
  </si>
  <si>
    <t>deliveries with transport delays;deliveries with carrier delays; deliveries with logistics delays</t>
  </si>
  <si>
    <t>KPI OTIF: # not in full</t>
  </si>
  <si>
    <t>KPI_OTIF____NOT_IN_FULL</t>
  </si>
  <si>
    <t>Number of incomplete deliveries</t>
  </si>
  <si>
    <t>Number of deliveries where the delivered quantity was less than the confirmed/ordered quantity, regardless of delivery timing. Sub-component of the OTIF KPI for identifying quantity shortfalls.</t>
  </si>
  <si>
    <t>incomplete deliveries; short shipments; not in full</t>
  </si>
  <si>
    <t>KPI OTIF: # on time</t>
  </si>
  <si>
    <t>KPI_OTIF____ON_TIME</t>
  </si>
  <si>
    <t>Number of on-time deliveries</t>
  </si>
  <si>
    <t>Number of deliveries that arrived at the customer on or before the agreed delivery date, regardless of the quantity delivered. Sub-component of the OT8IF KPI.</t>
  </si>
  <si>
    <t>on-time deliveries; punctual deliveries; delivered as promised; met delivery date</t>
  </si>
  <si>
    <t>KPI OTIF: # total deliveries</t>
  </si>
  <si>
    <t>KPI_OTIF____TOTAL_DELIVERIES</t>
  </si>
  <si>
    <t>Total number of deliveries</t>
  </si>
  <si>
    <t>The total number of all evaluated deliveries in the reporting period. Denominator for the calculation of the OTIF rate: OTIF% = # OTIF / # total deliveries × 100.</t>
  </si>
  <si>
    <t>deliveries; shipment count; total shipments</t>
  </si>
  <si>
    <t>KPI OTIF: # total late</t>
  </si>
  <si>
    <t>KPI_OTIF____TOTAL_LATE</t>
  </si>
  <si>
    <t>Total number of late deliveries</t>
  </si>
  <si>
    <t>Total number of all deliveries that arrived at the customer after the agreed delivery date, regardless of quantity completeness.</t>
  </si>
  <si>
    <t>late deliveries; delayed shipments; missed delivery date; overall lateness count</t>
  </si>
  <si>
    <t>KPI OTIF: # total late+OT NIF</t>
  </si>
  <si>
    <t>KPI_OTIF____TOTAL_LATE_OT_NIF</t>
  </si>
  <si>
    <t>Total number of late and/or incomplete deliveries</t>
  </si>
  <si>
    <t>Count of all deliveries that are either late, not in full, or both. Includes Late-In-Full, On-Time-Not-In-Full, and Late-Not-In-Full deliveries. Each delivery is counted only once.</t>
  </si>
  <si>
    <t>OTIF exceptions; non-compliant deliveries; all OTIF failures; combined delivery misses</t>
  </si>
  <si>
    <t>KPI OTIF: 1. Agreed quantity KG</t>
  </si>
  <si>
    <t>KPI_OTIF__1__AGREED_QUANTITY_KG</t>
  </si>
  <si>
    <t>Agreed delivery quantity in KG</t>
  </si>
  <si>
    <t>The confirmed/agreed delivery quantity in kilograms from the customer order. Reference figure for the In-Full assessment: if the actually delivered quantity is ≥ agreed quantity, the delivery is classified as "In Full".</t>
  </si>
  <si>
    <t>1994,91</t>
  </si>
  <si>
    <t>ordered quantity; requested quantity; committed quantity; quantity as agreed, volume as agreed</t>
  </si>
  <si>
    <t>KPI OTIF: Delivery Quantity KG</t>
  </si>
  <si>
    <t>KPI_OTIF__DELIVERY_QUANTITY_KG</t>
  </si>
  <si>
    <t>Actually delivered quantity in KG</t>
  </si>
  <si>
    <t>The quantity actually delivered to the customer in kilograms. Compared against the agreed quantity (Agreed Quantity KG) to determine over- or underdeliveries.</t>
  </si>
  <si>
    <t>2493,64</t>
  </si>
  <si>
    <t>delivered quantity; shipment quantity; actual quantity;  actual volume</t>
  </si>
  <si>
    <t>KPI OTIF: Overdelivery KG</t>
  </si>
  <si>
    <t>KPI_OTIF__OVERDELIVERY_KG</t>
  </si>
  <si>
    <t>Overdelivery quantity in KG</t>
  </si>
  <si>
    <t>The quantity in kilograms by which a delivery exceeds the agreed quantity. Positive deviation from the Agreed Quantity. May be classified as OTIF-compliant or non-compliant depending on the customer agreement.</t>
  </si>
  <si>
    <t>NUMBER(19,14)</t>
  </si>
  <si>
    <t>NOT NULL, numeric, max prec/scale 19/14</t>
  </si>
  <si>
    <t>excess shipment; overdelivery; extra quantity</t>
  </si>
  <si>
    <t>KPI OTIF: Qty deviation KG</t>
  </si>
  <si>
    <t>KPI_OTIF__QTY_DEVIATION_KG</t>
  </si>
  <si>
    <t>Quantity deviation in KG</t>
  </si>
  <si>
    <t>The absolute difference between the actually delivered quantity and the agreed quantity in kilograms. Positive values indicate overdelivery; negative values indicate underdelivery.</t>
  </si>
  <si>
    <t>498,73</t>
  </si>
  <si>
    <t>quantity variance; quantity deviation; delivery variance</t>
  </si>
  <si>
    <t>KPI OTIF: Underdelivery KG</t>
  </si>
  <si>
    <t>KPI_OTIF__UNDERDELIVERY_KG</t>
  </si>
  <si>
    <t>Underdelivery quantity in KG</t>
  </si>
  <si>
    <t>The quantity in kilograms by which a delivery falls short of the agreed quantity. Negative deviation from the Agreed Quantity. Leads to classification as "Not In Full" and thus to an OTIF failure.</t>
  </si>
  <si>
    <t>NUMBER(20,14)</t>
  </si>
  <si>
    <t>NOT NULL, numeric, max prec/scale 20/14</t>
  </si>
  <si>
    <t>short shipment; underdelivery; missing quantity</t>
  </si>
  <si>
    <t>21.01.2026</t>
  </si>
  <si>
    <t>Actual delivery date</t>
  </si>
  <si>
    <t>ACTUAL_DELIVERY_DATE</t>
  </si>
  <si>
    <t>The actual date on which goods arrived at the recipient (customer/plant) or are considered delivered. Recorded in the outbound delivery document and used as the actual value for OTIF measurements. May differ from the planned delivery date.</t>
  </si>
  <si>
    <t>28.01.2026</t>
  </si>
  <si>
    <t>delivery date; actual delivery; delivered date; arrival date; customer delivery date; receipt date</t>
  </si>
  <si>
    <t>AT</t>
  </si>
  <si>
    <t>Austria</t>
  </si>
  <si>
    <t>Created on</t>
  </si>
  <si>
    <t>CREATED_ON</t>
  </si>
  <si>
    <t>Creation date</t>
  </si>
  <si>
    <t>The date on which a document (e.g. order, delivery) was created in the system. Serves as a timestamp for document history and as a filter characteristic in reporting.</t>
  </si>
  <si>
    <t>01.01.2026</t>
  </si>
  <si>
    <t>creation date; created date; document creation date; order creation date; created on</t>
  </si>
  <si>
    <t>55</t>
  </si>
  <si>
    <t>PM Transportation</t>
  </si>
  <si>
    <t>504</t>
  </si>
  <si>
    <t>PM Auto Seating</t>
  </si>
  <si>
    <t>70022</t>
  </si>
  <si>
    <t>PM Auto Flex. Foam</t>
  </si>
  <si>
    <t>1100</t>
  </si>
  <si>
    <t>Delivery date plann.</t>
  </si>
  <si>
    <t>DELIVERY_DATE_PLANN_</t>
  </si>
  <si>
    <t>Planned delivery date</t>
  </si>
  <si>
    <t>The planned date resulting from delivery scheduling on which goods are expected to arrive at the customer. Calculated backwards from the customer-requested delivery date, taking into account transit times, loading times and material availability.</t>
  </si>
  <si>
    <t>19.01.2026</t>
  </si>
  <si>
    <t>planned delivery date; target delivery date; expected delivery date; requested delivery date</t>
  </si>
  <si>
    <t>Document currency</t>
  </si>
  <si>
    <t>DOCUMENT_CURRENCY</t>
  </si>
  <si>
    <t xml:space="preserve">The currency in which a document (e.g. customer order, invoice) is recorded. This is the transaction currency and may differ from the company code currency or group currency. Example: An Indian company posts a sale in the USA – document currency = USD, company code currency = INR. </t>
  </si>
  <si>
    <t>EUR</t>
  </si>
  <si>
    <t>currency; transaction currency; sales currency; invoice currency; billing currency</t>
  </si>
  <si>
    <t>Document currency2</t>
  </si>
  <si>
    <t>DOCUMENT_CURRENCY2</t>
  </si>
  <si>
    <t>Document currency (TEXT)</t>
  </si>
  <si>
    <t>Euro</t>
  </si>
  <si>
    <t>DE5058</t>
  </si>
  <si>
    <t>CVGEC</t>
  </si>
  <si>
    <t>533</t>
  </si>
  <si>
    <t>KULPS</t>
  </si>
  <si>
    <t>EMLA</t>
  </si>
  <si>
    <t>Sales office EMLA</t>
  </si>
  <si>
    <t>3924064</t>
  </si>
  <si>
    <t>Adient PLC</t>
  </si>
  <si>
    <t>PM TC SF/AS (TDI+)</t>
  </si>
  <si>
    <t>PM Auto Seating EMEA</t>
  </si>
  <si>
    <t>E020</t>
  </si>
  <si>
    <t>ARCOL POLYOL HS-200      0000,00 KG T001</t>
  </si>
  <si>
    <t>SPET</t>
  </si>
  <si>
    <t>Plan. goods is. date</t>
  </si>
  <si>
    <t>PLAN__GOODS_IS__DATE</t>
  </si>
  <si>
    <t>Planned goods issue date</t>
  </si>
  <si>
    <t>The planned date for the goods issue from the delivering plant. Calculated backwards from the delivery date in delivery scheduling, taking into account transit time and loading time. Basis for OTIF measurement (planned GI date vs. actual GI date).</t>
  </si>
  <si>
    <t>26.01.2026</t>
  </si>
  <si>
    <t>planned GI date; planned shipment date; planned goods issue; target shipment date</t>
  </si>
  <si>
    <t>ANPE</t>
  </si>
  <si>
    <t>PRD PM  PET ANT</t>
  </si>
  <si>
    <t>PET PM</t>
  </si>
  <si>
    <t>220</t>
  </si>
  <si>
    <t>PET FILLED</t>
  </si>
  <si>
    <t>21B</t>
  </si>
  <si>
    <t>PMPO BLEND FILLED</t>
  </si>
  <si>
    <t>70/06/220/21B/Not as</t>
  </si>
  <si>
    <t>Prod.Hier.622</t>
  </si>
  <si>
    <t>PROD_HIER_622</t>
  </si>
  <si>
    <t>Product hierarchy level 622</t>
  </si>
  <si>
    <t>Prod.Hier.6222</t>
  </si>
  <si>
    <t>PROD_HIER_6222</t>
  </si>
  <si>
    <t>Product hierarchy level 6222 (TEXT)</t>
  </si>
  <si>
    <t>ARCOL POLYOL HS-200</t>
  </si>
  <si>
    <t>000000000083316692</t>
  </si>
  <si>
    <t>540</t>
  </si>
  <si>
    <t>PET</t>
  </si>
  <si>
    <t>06</t>
  </si>
  <si>
    <t>Adient Automotive GmbH</t>
  </si>
  <si>
    <t>AT/Not assigned</t>
  </si>
  <si>
    <t>83316692</t>
  </si>
  <si>
    <t>KPI Sales: Delivery Quantity KG</t>
  </si>
  <si>
    <t>KPI_SALES__DELIVERY_QUANTITY_KG</t>
  </si>
  <si>
    <t>Delivery quantity in KG (sales)</t>
  </si>
  <si>
    <t>The total delivery quantity in kilograms recorded in delivery documents in the reporting period. Volume KPI in sales reporting, aggregatable by customer, product, region, etc.</t>
  </si>
  <si>
    <t>sales volume; delivered volume; shipment volume; quantity sold; order volume</t>
  </si>
  <si>
    <t>KPI Sales: Net value deliv. DC</t>
  </si>
  <si>
    <t>KPI_SALES__NET_VALUE_DELIV__DC</t>
  </si>
  <si>
    <t>Net value of delivery item in document currency</t>
  </si>
  <si>
    <t>The net value of a delivery line item in the respective document currency (DC). Starting figure for revenue analyses prior to currency conversion to EUR.</t>
  </si>
  <si>
    <t>NOT NULL, numeric, max prec/scale 12/2</t>
  </si>
  <si>
    <t>delivery value; shipment value; delivery revenue local currency</t>
  </si>
  <si>
    <t>KPI Sales: Net value delivery EUR</t>
  </si>
  <si>
    <t>KPI_SALES__NET_VALUE_DELIVERY_EUR</t>
  </si>
  <si>
    <t>Net value of delivery in EUR</t>
  </si>
  <si>
    <t>The net value of a delivery line item in EUR, converted from the document currency at the applicable posting exchange rate. Standard reporting currency for all cross-dimensional revenue and margin KPIs in reporting. Aggregatable across all dimensions (customer, product, region, period).</t>
  </si>
  <si>
    <t>delivery value EUR; shipment revenue EUR; delivered sales value</t>
  </si>
  <si>
    <t>KPI OTIF: # OT not in full</t>
  </si>
  <si>
    <t>KPI_OTIF____OT_NOT_IN_FULL</t>
  </si>
  <si>
    <t>Number of deliveries arrived on time but not in full</t>
  </si>
  <si>
    <t>Number of deliveries that were delivered on time but not in full quantity. Sub-component of the OTIF KPI for identifying quantity problems in on-time deliveries.</t>
  </si>
  <si>
    <t>on-time but incomplete deliveries; OT NIF; partial on-time deliveries; on-time short deliveries</t>
  </si>
  <si>
    <t>METRICS</t>
  </si>
  <si>
    <t>One row per metric the AI can compute. Each metric maps to a SQL pattern the AI instantiates at query time. keywords drive metric selection; critical_notes prevent common mistakes.</t>
  </si>
  <si>
    <t>ℹ  Instructions: Add one row per supported metric. metric_name must be unique and match exactly how it is referenced in the GT sheet. keywords = comma-separated phrases a user might say (the AI selects the metric by matching these). sql_example uses {placeholders} for dynamic values (time filter, dimension columns, etc.) that the AI fills in at runtime. critical_notes = hard rules the AI must follow when using this metric — most important column for accuracy.</t>
  </si>
  <si>
    <t>(Covestro)</t>
  </si>
  <si>
    <t>Core Filter bei Sales, Qunatity, Margin, aber nicht bei OTIF &amp; Receivables</t>
  </si>
  <si>
    <t>metric_name</t>
  </si>
  <si>
    <t>category</t>
  </si>
  <si>
    <t>formula</t>
  </si>
  <si>
    <t>keywords</t>
  </si>
  <si>
    <t>sql_example</t>
  </si>
  <si>
    <t>relevant_tables</t>
  </si>
  <si>
    <t>output_columns</t>
  </si>
  <si>
    <t>critical_notes</t>
  </si>
  <si>
    <t>example_args</t>
  </si>
  <si>
    <t>Var. Product Costs per kg</t>
  </si>
  <si>
    <t>Variable product costs incurred per kilogram sold. Measures production cost efficiency relative to volume. Lower values generally indicate better cost efficiency.</t>
  </si>
  <si>
    <t>Use when the question asks for analyzing production cost efficiency, cost developments, margin drivers, product profitability, or benchmarking costs across products and business units.</t>
  </si>
  <si>
    <t>(KPI COSMOS: Product Costs, Var.) /  (KPI COSMOS: Gross Sales Qty (in+ex))</t>
  </si>
  <si>
    <t>Var./kg, variable cost per kg; product cost per kg; manufacturing cost per kg; production cost efficiency; cost/kg; unit production cost; variable manufacturing cost per kg; variable product cost analysis; variable cost performance</t>
  </si>
  <si>
    <t>SELECT {dimension_columns}, ROUND( SUM(cos.KPI_COSMOS__PRODUCT_COSTS__VAR) / NULLIF(SUM(cos.KPI_COSMOS__GROSS_SALES_QTY__I), 0), 2 ) AS product_costs_var_per_qty FROM cos WHERE {current_time_filter} AND {core_business_indicator} {dimension_filter_clauses} {group_by_clause} {order_by_clause} {limit_clause};</t>
  </si>
  <si>
    <t>product_costs_var_per_qty</t>
  </si>
  <si>
    <t>{"metric_name":"Product Costs Var per Qty","time_period":{"FISCAL_YEAR_PERIOD":"2025"},"dimensions":["PRODUCED_MATERIAL"],"order_by":"product_costs_var_per_qty DESC","limit":10}</t>
  </si>
  <si>
    <t>OTIF Rate</t>
  </si>
  <si>
    <t>Percentage of deliveries that were completed On Time and In Full quantity (OTIF). Measures customer service performance and supply chain reliability.</t>
  </si>
  <si>
    <t>Use when evaluating delivery performance and fulfillment quality.</t>
  </si>
  <si>
    <t>(KPI OTIF: # OTIF) / (KPI OTIF: # total deliveries) *100</t>
  </si>
  <si>
    <t>OTIF; on time and in full; delivery performance; delivery reliability; fulfillment rate; customer service KPI; logistics KPI; shipment performance, percentage of OTIF-compliant deliveries, OTIF compliance</t>
  </si>
  <si>
    <t>SELECT {dimension_columns}, ROUND( SUM(o.KPI_OTIF____OTIF) * 100.0 / NULLIF(SUM(o.KPI_OTIF____TOTAL_DELIVERIES), 0), 2 ) AS otif_rate FROM o WHERE {current_time_filter}  {dimension_filter_clauses} {group_by_clause} {order_by_clause} {limit_clause};</t>
  </si>
  <si>
    <t>otif_rate</t>
  </si>
  <si>
    <t>{"metric_name":"OTIF Rate","time_period":{"FISCAL_YEAR_PERIOD":"2025"},"dimensions":["Marketing Customer ship-to"],"order_by":"otif_rate DESC","limit":10}</t>
  </si>
  <si>
    <t>WAT Target</t>
  </si>
  <si>
    <t>Working capital</t>
  </si>
  <si>
    <t>The amount-weighted contractual payment term days (target days) of all open receivable positions at the key date</t>
  </si>
  <si>
    <t>Use when comparing the WAT compared to the target and when assessing receivables management, customer payment terms and working capital targets</t>
  </si>
  <si>
    <t>(KPI AR-KeyDate: Weighted target days) / (KPI AR-KeyDate: Amount in EUR)</t>
  </si>
  <si>
    <t>WAT target; targeted weighted average payment term; payment target days; receivables target; customer payment terms; AR target days; collection terms; working capital target</t>
  </si>
  <si>
    <t>SELECT {dimension_columns}, ROUND( SUM(kd.KPI_AR_KEYDATE__WEIGHTED_TARGET_DAYS) / NULLIF(SUM(kd.KPI_AR_KEYDATE__AMOUNT_IN_EUR), 0), 2 ) AS wat_target FROM kd WHERE {current_time_filter}  {dimension_filter_clauses} {group_by_clause} {order_by_clause} {limit_clause};</t>
  </si>
  <si>
    <t>AR-KeyDate</t>
  </si>
  <si>
    <t>wat_target</t>
  </si>
  <si>
    <t>{"metric_name":"WAT Target","time_period":{"FISCAL_YEAR_PERIOD":"2025"},"dimensions":["PRODUCED_MATERIAL"],"order_by":"wat_target DESC","limit":10}</t>
  </si>
  <si>
    <t>WOC Target</t>
  </si>
  <si>
    <t>The weighted target days for Weeks of Credit (WoC) at the key date. Used as a benchmark figure against actual outstanding days.</t>
  </si>
  <si>
    <t>Use when analyzing the weeks of credit target</t>
  </si>
  <si>
    <t>(KPI AR-KeyDate: Weighted WoC Target days) / (KPI AR-KeyDate: Amount in EUR)</t>
  </si>
  <si>
    <t>weeks of credit target</t>
  </si>
  <si>
    <t>SELECT {dimension_columns}, ROUND( SUM(kd.KPI_AR_KEYDATE__WEIGHTED_WOC_TARGET_DAYS) / NULLIF(SUM(kd.KPI_AR_KEYDATE__AMOUNT_IN_EUR), 0), 2 ) AS woc_target FROM kd WHERE {current_time_filter}  {dimension_filter_clauses} {group_by_clause} {order_by_clause} {limit_clause};</t>
  </si>
  <si>
    <t>woc_target</t>
  </si>
  <si>
    <t>{"metric_name":"WOC Target","time_period":{"FISCAL_YEAR_PERIOD":"2025"},"dimensions":["PRODUCED_MATERIAL"],"order_by":"woc_target DESC","limit":10}</t>
  </si>
  <si>
    <t>MI1 in %</t>
  </si>
  <si>
    <t>Consolidated Marginal Income I as a percentage of Net Sales</t>
  </si>
  <si>
    <t>Use when analyzing profitability and margin performance</t>
  </si>
  <si>
    <t>(KPI COSMOS: Consolidated Marginal Income I) / (KPI COSMOS: Net Sales) * 100</t>
  </si>
  <si>
    <t>MI1in % Sales; Margin I,  %; marginal income 1 percentage; contribution margin percentage; gross margin percentage; profitability ratio; margin analysis</t>
  </si>
  <si>
    <t>SELECT {dimension_columns}, ROUND(100.0 * SUM(cos.KPI_COSMOS__CONSOLIDATED_MARGIN_I) / NULLIF(SUM(cos.KPI_COSMOS__NET_SALES), 0), 2) AS m1_in_prozent FROM cos WHERE {current_time_filter} AND {core_business_indicator} {dimension_filter_clauses} {group_by_clause} {order_by_clause} {limit_clause};</t>
  </si>
  <si>
    <t>m1_in_prozent</t>
  </si>
  <si>
    <t>{"metric_name":"MI1 in %","time_period":{"FISCAL_YEAR_PERIOD":"2025"},"dimensions":["PRODUCED_MATERIAL"],"order_by":"m1_in_prozent DESC","limit":10}</t>
  </si>
  <si>
    <t>Margin I per kg</t>
  </si>
  <si>
    <t>Consolidated Marginal Income I generated per kilogram sold. Shows the contribution earned for each unit of sales volume.</t>
  </si>
  <si>
    <t>Use when evaluating profitability per volume unit</t>
  </si>
  <si>
    <t>(KPI COSMOS: Consolidated Marginal Income I) / (KPI COSMOS: Gross Sales Qty (in+ex))</t>
  </si>
  <si>
    <t>MI1 per kg; margin per kg; contribution per kg; profitability per kg; earnings per kg; unit contribution margin</t>
  </si>
  <si>
    <t>SELECT {dimension_columns}, ROUND( SUM(cos.KPI_COSMOS__CONSOLIDATED_MARGIN_I) / NULLIF(SUM(cos.KPI_COSMOS__GROSS_SALES_QTY__IN_EX), 0), 2 ) AS margin_I_per_kg FROM cos WHERE {current_time_filter} AND {core_business_indicator} {dimension_filter_clauses} {group_by_clause} {order_by_clause} {limit_clause};</t>
  </si>
  <si>
    <t xml:space="preserve"> margin_I_per_kg</t>
  </si>
  <si>
    <t>{"metric_name":"Margin I per kg","time_period":{"FISCAL_YEAR_PERIOD":"2025"},"dimensions":["PRODUCED_MATERIAL"],"order_by":"margin_I_per_kg DESC","limit":10}</t>
  </si>
  <si>
    <t>MI2a in %</t>
  </si>
  <si>
    <t>Consolidated Marginal Income IIa as a percentage of Net Sales. Reflects profitability after additional costs beyond MI1 and provides a deeper profitability view</t>
  </si>
  <si>
    <t>Use when assessing operational profitability (as of Marginal Income 2a) in comparison to Net sales</t>
  </si>
  <si>
    <t>(KPI COSMOS: Consolidated Marginal Income IIa) / (KPI COSMOS: Net Sales)</t>
  </si>
  <si>
    <t>MI2a in % Sales; Margin IIa, %; marginal income 2a percentage; operating margin; profitability ratio; contribution margin 2a; net sales profitability</t>
  </si>
  <si>
    <t>SELECT {dimension_columns}, ROUND(100.0 * SUM(cos.KPI_COSMOS__CONSOLIDATED_MARGIN_IIa) / NULLIF(SUM(cos.KPI_COSMOS__NET_SALES), 0), 2) AS MI2a_in_prozent FROM cos WHERE {current_time_filter} AND {core_business_indicator} {dimension_filter_clauses} {group_by_clause} {order_by_clause} {limit_clause};</t>
  </si>
  <si>
    <t>MI2a_in_prozent</t>
  </si>
  <si>
    <t>{"metric_name":"MI2a in %","time_period":{"FISCAL_YEAR_PERIOD":"2025"},"dimensions":["PRODUCED_MATERIAL"],"order_by":"MI2a_in_prozent DESC","limit":10}</t>
  </si>
  <si>
    <t>MI2a per kg</t>
  </si>
  <si>
    <t>Consolidated Marginal Income IIa generated per kilogram sold. Measures profitability per unit after accounting for additional cost elements included in MI2a.</t>
  </si>
  <si>
    <t>Use when comparing profitability (as of Marginal Income 2a) by volume</t>
  </si>
  <si>
    <t>(KPI COSMOS: Consolidated Marginal Income IIa) / (KPI COSMOS: Gross Sales Qty (in+ex))</t>
  </si>
  <si>
    <t>Margin 2a per kg; operating profit per kg; profitability per kg; contribution per kg; margin/kg; earnings per unit</t>
  </si>
  <si>
    <t>SELECT {dimension_columns}, ROUND( SUM(cos.KPI_COSMOS__CONSOLIDATED_MARGIN_IIa) / NULLIF(SUM(cos.KPI_COSMOS__GROSS_SALES_QTY__IN_EX), 0), 2 ) AS MI2a_per_kg FROM cos WHERE {current_time_filter} AND {core_business_indicator} {dimension_filter_clauses} {group_by_clause} {order_by_clause} {limit_clause};</t>
  </si>
  <si>
    <t>MI2a_per_kg</t>
  </si>
  <si>
    <t>{"metric_name":"MI2a per kg","time_period":{"FISCAL_YEAR_PERIOD":"2025"},"dimensions":["PRODUCED_MATERIAL"],"order_by":"MI2a_per_kg DESC","limit":10}</t>
  </si>
  <si>
    <t>Overdue</t>
  </si>
  <si>
    <t>Total value of receivables that have passed their due date and remain unpaid. Indicates collection issues and potential credit risk exposure.</t>
  </si>
  <si>
    <t>Use when monitoring overdue accounts, credit risk, collection performance, or receivables aging.</t>
  </si>
  <si>
    <t>KPI AR-KeyDate: Amount in EUR with  net_due_date &lt;=
Fiscal year/period</t>
  </si>
  <si>
    <t>overdue receivables; overdue AR; outstanding overdue invoices; late payments; past due amount; receivables aging; collections backlog, past due date</t>
  </si>
  <si>
    <t>SELECT {dimension_columns}, SUM(kd.KPI_AR_KEYDATE__AMOUNT_IN_EUR) AS overdue_receivables_eur FROM kd WHERE net_due_date &lt;= FISCAL_YEAR_PERIOD {current_time_filter}  {dimension_filter_clauses} {group_by_clause} {order_by_clause} {limit_clause};</t>
  </si>
  <si>
    <t>overdue_receivables_eur</t>
  </si>
  <si>
    <t>{"metric_name":"Overdue","time_period":{"FISCAL_YEAR_PERIOD":"2025"},"dimensions":["PRODUCED_MATERIAL"],"order_by":"overdue_receivables_eur DESC","limit":10}</t>
  </si>
  <si>
    <t>Not yet due</t>
  </si>
  <si>
    <t>Value of receivables that are still within their agreed payment terms and have not yet reached their due date2</t>
  </si>
  <si>
    <t>Use when assessing current receivables</t>
  </si>
  <si>
    <t>(KPI AR-KeyDate: Amount in EUR) - (Overdue)</t>
  </si>
  <si>
    <t>current receivables; receivables within terms; open receivables; outstanding not overdue; current AR; receivables aging</t>
  </si>
  <si>
    <t>SELECT
    {dimension_columns},
    ROUND( SUM(kd.KPI_AR_KEYDATE__AMOUNT_IN_EUR)
        - SUM(kd.overdue_receivables_eur),
        2
    ) AS not_yet_due
FROM kd
WHERE
    {current_time_filter}
    AND {core_business_indicator}
    {dimension_filter_clauses}
{group_by_clause}
{order_by_clause}
{limit_clause};</t>
  </si>
  <si>
    <t>not_yet_due</t>
  </si>
  <si>
    <t>{"metric_name":"Not yet due","time_period":{"FISCAL_YEAR_PERIOD":"2025"},"dimensions":["PRODUCED_MATERIAL"],"order_by":"not_yet_due DESC","limit":10}</t>
  </si>
  <si>
    <t>% Overdue of Receivables</t>
  </si>
  <si>
    <t>Percentage of total receivables that are overdue. Measures the quality of accounts receivable and effectiveness of collection efforts</t>
  </si>
  <si>
    <t xml:space="preserve">Use when evaluating the current receivables and the corresponding overdues </t>
  </si>
  <si>
    <t>(Overdue) / (KPI AR-KeyDate: Amount in EUR)</t>
  </si>
  <si>
    <t>overdue percentage; overdue receivables ratio; AR overdue rate; collections performance; past due percentage</t>
  </si>
  <si>
    <t>SELECT
  {dimension_columns},
  ROUND(
    100.0 * SUM(kd.overdue_receivables_eur)
    / SUM(kd.KPI_AR_KEYDATE__AMOUNT_IN_EUR),
    2
  ) AS prozent_overdue_of_receivables
FROM kd
WHERE {current_time_filter}
  {dimension_filter_clauses}
{group_by_clause}
{order_by_clause}
{limit_clause};</t>
  </si>
  <si>
    <t xml:space="preserve">prozent_overdue_of_receivables </t>
  </si>
  <si>
    <t>{"metric_name":"% Overdue of Receivables","time_period":{"FISCAL_YEAR_PERIOD":"2025"},"dimensions":["PRODUCED_MATERIAL"],"order_by":"prozent_overdue_of_receivables DESC","limit":10}</t>
  </si>
  <si>
    <t>Volume Growth (%)</t>
  </si>
  <si>
    <t>Percentage change in order volume compared with a prior period. Measures demand development</t>
  </si>
  <si>
    <t>Use when comparing order volume across two periods (e.g. June 2025 vs June 2026). Requires both time_period (current) and comparison_period (baseline).</t>
  </si>
  <si>
    <t>((KPI Sales: Delivery Quantity KG_current -KPI Sales: Delivery Quantity KG_prior) / KPI Sales: Delivery Quantity KG_prior) * 100</t>
  </si>
  <si>
    <t>order volume growth; sales volume growth; quantity growth; shipment growth; demand growth; volume trend; volume change; sales quantity increase; sales quantity decrease</t>
  </si>
  <si>
    <t>WITH totals AS (
  SELECT
    {dimension_columns},
    SUM(CASE WHEN s.ACT__GI_DAY BETWEEN TO_DATE('{current_start_date}') AND TO_DATE('{current_end_date}')
             THEN s.KPI_SALES__DELIVERY_QUANTITY_KG ELSE 0 END) AS current_total,
    SUM(CASE WHEN s.ACT__GI_DAY BETWEEN TO_DATE('{prior_start_date}') AND TO_DATE('{prior_end_date}')
             THEN s.KPI_SALES__DELIVERY_QUANTITY_KG ELSE 0 END) AS prior_total
  FROM s
  WHERE s.CORE_BUSINESS_INDICATOR IN ('C', 'P', 'T')
    AND (s.ACT__GI_DAY BETWEEN TO_DATE('{current_start_date}') AND TO_DATE('{current_end_date}')
      OR s.ACT__GI_DAY BETWEEN TO_DATE('{prior_start_date}') AND TO_DATE('{prior_end_date}'))
    {dimension_filter_clauses}
  {group_by_clause}
)
SELECT
  {dimension_columns},
  ROUND(current_total, 2) AS current_total,
  ROUND(prior_total, 2) AS prior_total,
  ROUND(current_total - prior_total, 2) AS absolute_change,
  ROUND(100.0 * (current_total - prior_total) / NULLIF(prior_total, 0), 2) AS volume_growth_prozent
FROM totals
{order_by_clause}
{limit_clause};</t>
  </si>
  <si>
    <t>current_total, prior_total, absolute_change, volume_growth_prozent</t>
  </si>
  <si>
    <t>{"metric_name":"Volume Growth (%)","time_period":{"FISCAL_YEAR_PERIOD":"2025"},"dimensions":["PRODUCED_MATERIAL"],"order_by":"volume_growth_prozent DESC","limit":10}</t>
  </si>
  <si>
    <t>Net Sales Growth (%)</t>
  </si>
  <si>
    <t>Percentage change in Net Sales between a current period and a comparable prior period (YoY, QoQ, MoM). Measures topline momentum.</t>
  </si>
  <si>
    <t>Use when comparing Net Sales across two periods (e.g. June 2025 vs June 2026). Requires both time_period (current) and comparison_period (baseline).</t>
  </si>
  <si>
    <t>((COPA Net sales_current - COPA Net sales_prior) / COPA Net sales_prior) * 100</t>
  </si>
  <si>
    <t>net sales growth; net sales change; growth in Net Sales; compare net sales; net sales YoY; net sales QoQ; net sales MoM; topline growth; net sales increase; net sales momentum; net sales trend; delta in net sales</t>
  </si>
  <si>
    <t>WITH totals AS (
  SELECT
    {dimension_columns},
    SUM(CASE WHEN cop.POSTING_DATE BETWEEN TO_DATE('{current_start_date}') AND TO_DATE('{current_end_date}')
             THEN cop.KPI_COPA__NET_SALES ELSE 0 END) AS current_total,
    SUM(CASE WHEN cop.POSTING_DATE BETWEEN TO_DATE('{prior_start_date}') AND TO_DATE('{prior_end_date}')
             THEN cop.KPI_COPA__NET_SALES ELSE 0 END) AS prior_total
  FROM cop
  WHERE cop.CORE_BUSINESS_INDICATOR IN ('C', 'P', 'T')
    AND (cop.POSTING_DATE BETWEEN TO_DATE('{current_start_date}') AND TO_DATE('{current_end_date}')
      OR cop.POSTING_DATE BETWEEN TO_DATE('{prior_start_date}') AND TO_DATE('{prior_end_date}'))
    {dimension_filter_clauses}
  {group_by_clause}
)
SELECT
  {dimension_columns},
  ROUND(current_total, 2) AS current_total,
  ROUND(prior_total, 2) AS prior_total,
  ROUND(current_total - prior_total, 2) AS absolute_change,
  ROUND(100.0 * (current_total - prior_total) / NULLIF(prior_total, 0), 2) AS metric_value
FROM totals
{order_by_clause}
{limit_clause};</t>
  </si>
  <si>
    <t>current_total, comparison_total, absolute_change</t>
  </si>
  <si>
    <t>WITHIN-YEAR QoQ (same year, different quarters): Do NOT use this metric — it compares to prior year's same quarter. Use net sales with sequential_delta=true and quarter in dimensions instead. MULTI-YEAR TREND (3+ years): Use net sales with sequential_delta=true, not this metric. Always present all four output columns: current_total, comparison_total, absolute_change, metric_value (%).</t>
  </si>
  <si>
    <t>{"metric_name":"net sales Growth (%)","time_period":{"fiscal_year":"2024"},"comparison_period":{"fiscal_year":"2023"},"dimensions":["region_name"],"order_by":"absolute_change DESC"}</t>
  </si>
  <si>
    <t>Selling Price</t>
  </si>
  <si>
    <t>Average net selling price per unit (kg) sold. Measures realized pricing and supports pricing strategy</t>
  </si>
  <si>
    <t>Use when analyzing pricing performance, price realization, price changes, product mix effects, and driver of net sales &amp; order volume</t>
  </si>
  <si>
    <t>(KPI COPA: Net sales) / (KPI COPA: Gross Sales Qty)</t>
  </si>
  <si>
    <t>selling price; average selling price; ASP; price per kg; realized price; sales price; unit price; net price; pricing analysis; pricing KPI</t>
  </si>
  <si>
    <t>SELECT
{dimension_columns},
ROUND(
SUM(cop.KPI_COPA__NET_SALES)
/
NULLIF(SUM(cop.KPI_COPA__GROSS_SALES_QTY), 0),
2
) AS selling_price
FROM cop
WHERE
{current_time_filter}
AND {core_business_indicator}
{dimension_filter_clauses}
{group_by_clause}
{order_by_clause}
{limit_clause};</t>
  </si>
  <si>
    <t>selling_price</t>
  </si>
  <si>
    <t>{"metric_name":"Selling Price","time_period":{"FISCAL_YEAR_PERIOD":"2025"},"dimensions":["PRODUCED_MATERIAL"],"order_by":"selling_price DESC","limit":10}</t>
  </si>
  <si>
    <t>Receivables</t>
  </si>
  <si>
    <t xml:space="preserve">Use when analyzing total accounts receivable exposure, outstanding customer balances, receivables stock, working capital tied up in customers, customer credit exposure, or regional/customer-level AR balances at a specific reporting date. Do not use for collection performance or payment behavior trends over time; use AR-PM metrics instead. </t>
  </si>
  <si>
    <t>SELECT KPI_AR_KEYDATE__AMOUNT_IN_EUR FROM kd</t>
  </si>
  <si>
    <t>Line items</t>
  </si>
  <si>
    <t xml:space="preserve">Use when analyzing the number of open receivables, invoice volume, customer open-item exposure, receivables portfolio size, or as a denominator for weighted AR calculations. Do not use as a measure of monetary exposure. </t>
  </si>
  <si>
    <t>SELECT KPI_AR_KEYDATE__COUNTER FROM kd</t>
  </si>
  <si>
    <t xml:space="preserve">Net value of billing item </t>
  </si>
  <si>
    <t xml:space="preserve">Use when analyzing invoice-level receivables values, billing values in document currency, or when calculating weighted working-capital metrics such as WAT and WoC. Do not use for consolidated reporting in EUR. </t>
  </si>
  <si>
    <t>SELECT KPI_AR_KEYDATE__NET_VALUE_OF_BILLING_ITEM FROM kd</t>
  </si>
  <si>
    <t xml:space="preserve">Weighted WoC target days </t>
  </si>
  <si>
    <t xml:space="preserve">Use when evaluating target payment terms, benchmark credit conditions, contractual customer payment agreements, or working-capital targets. Useful for comparing actual receivables performance against target conditions. </t>
  </si>
  <si>
    <t>SELECT KPI_AR_KEYDATE__WEIGHTED_WOC_TARGET_DAYS FROM kd</t>
  </si>
  <si>
    <t>Weighted target days</t>
  </si>
  <si>
    <t xml:space="preserve">Use when analyzing average contractual payment terms across a receivables portfolio, customer term structures, or WAT calculations. Do not use to assess actual payment behavior. </t>
  </si>
  <si>
    <t>SELECT KPI_AR_KEYDATE__WEIGHTED_TARGET_DAYS FROM kd</t>
  </si>
  <si>
    <t>Receivables - PM</t>
  </si>
  <si>
    <t xml:space="preserve">Use when monitoring receivables performance over a reporting period, evaluating working-capital performance, or tracking AR trends over time. Do not use for balance-sheet snapshots at a specific key date. </t>
  </si>
  <si>
    <t>SELECT KPI_AR_PM__AMOUNT_EUR FROM pm</t>
  </si>
  <si>
    <t>AR-PM</t>
  </si>
  <si>
    <t>Line items - PM</t>
  </si>
  <si>
    <t xml:space="preserve">Use when analyzing the volume of receivable positions in period-based AR performance reporting or when calculating weighted average AR indicators. Do not use for monetary analyses. </t>
  </si>
  <si>
    <t>SELECT KPI_AR_PM__COUNTER FROM pm</t>
  </si>
  <si>
    <t xml:space="preserve">Use when evaluating whether actual customer payment performance exceeds or misses working-capital targets. Useful for working-capital reviews, collection management, and AR performance monitoring. Positive values indicate deterioration versus target. </t>
  </si>
  <si>
    <t>SELECT KPI_AR_PM__DIFF_WOC_TARGET FROM pm</t>
  </si>
  <si>
    <t xml:space="preserve">Use when measuring actual weighted customer payment duration, operational DSO performance, collection effectiveness, or customer payment behavior. Use as the primary KPI for outstanding receivables duration. </t>
  </si>
  <si>
    <t>SELECT KPI_AR_PM__EDO__EFFECTIVE_DAYS_OUTSTANDING FROM pm</t>
  </si>
  <si>
    <t xml:space="preserve">Use when assessing the full end-to-end receivables cycle from invoice creation to payment, including payment delays and internal processing delays. Useful for operational AR efficiency analysis. </t>
  </si>
  <si>
    <t>SELECT KPI_AR_PM__PERFORMANCE_DAYS FROM pm</t>
  </si>
  <si>
    <t xml:space="preserve">Use when investigating internal administrative delays, delayed posting processes, or accounting process efficiency. Do not use to evaluate customer payment behavior. </t>
  </si>
  <si>
    <t>SELECT KPI_AR_PM__POSTING_DAYS FROM pm</t>
  </si>
  <si>
    <t>WAT Receivables</t>
  </si>
  <si>
    <t xml:space="preserve">Use when analyzing contractual payment terms, customer credit conditions, payment-term negotiations, or strategic working-capital management. </t>
  </si>
  <si>
    <t>SELECT KPI_AR_PM__WAT_RECEIVABLES FROM pm</t>
  </si>
  <si>
    <t xml:space="preserve">Use when evaluating how late customers pay relative to agreed payment terms. Useful for collection effectiveness reviews, overdue payment analyses, and customer payment discipline assessments. </t>
  </si>
  <si>
    <t>SELECT KPI_AR_PM__WDD__WEIGHTED_DELAY_DAYS FROM pm</t>
  </si>
  <si>
    <t xml:space="preserve">Use when analyzing invoiced sales volume, sales quantities, volume growth, product demand, customer volume, or pricing calculations. </t>
  </si>
  <si>
    <t>SELECT KPI_COPA__GROSS_SALES_QTY FROM cop</t>
  </si>
  <si>
    <t xml:space="preserve">Use when analyzing total invoiced revenue before discounts, rebates, bonuses, and deductions. Useful for topline sales analysis and revenue bridge calculations. </t>
  </si>
  <si>
    <t>SELECT KPI_COPA__GROSS_SALES FROM cop</t>
  </si>
  <si>
    <t xml:space="preserve">Use when analyzing realized revenue after sales deductions and adjustments. Suitable for commercial performance reporting and revenue quality analyses. </t>
  </si>
  <si>
    <t>SELECT KPI_COPA__NET_PROCEEDS FROM cop</t>
  </si>
  <si>
    <t xml:space="preserve">Use when analyzing net commercial revenue, revenue growth, sales performance, and selling-price calculations. </t>
  </si>
  <si>
    <t>SELECT KPI_COPA__NET_SALES FROM cop</t>
  </si>
  <si>
    <t xml:space="preserve">Use when investigating revenue corrections, pricing changes, retrospective settlements, quantity corrections, or commercial accounting adjustments. </t>
  </si>
  <si>
    <t>SELECT KPI_COPA__SALES_ADJUSTMENTS FROM cop</t>
  </si>
  <si>
    <t xml:space="preserve">Use when analyzing discounts, rebates, commissions, bonus programs, and commercial deductions impacting revenue realization. </t>
  </si>
  <si>
    <t>SELECT KPI_COPA__SALES_DEDUCTIONS FROM cop</t>
  </si>
  <si>
    <t xml:space="preserve">Consolidated marginal income I </t>
  </si>
  <si>
    <t xml:space="preserve">Use when analyzing contribution margin before fixed manufacturing costs, portfolio profitability, pricing decisions, commercial profitability, customer profitability, or product profitability. </t>
  </si>
  <si>
    <t>SELECT KPI_COSMOS__SALES_DEDUCTIONS FROM cos</t>
  </si>
  <si>
    <t xml:space="preserve">Consolidated marginal income II a </t>
  </si>
  <si>
    <t xml:space="preserve">Use when analyzing profitability after fixed manufacturing costs, operational profitability, business performance, and profitability comparisons between products, regions, or customers. </t>
  </si>
  <si>
    <t>MI2a; marginal income 2a; contribution margin 2a; margin 2a</t>
  </si>
  <si>
    <t>SELECT KPI_COSMOS__CONSOLIDATED_MARGIN_IIa FROM cos</t>
  </si>
  <si>
    <t xml:space="preserve">Use when analyzing consolidated external revenue across the enterprise, especially for management reporting and consolidated sales performance reviews. </t>
  </si>
  <si>
    <t>SELECT KPI_COSMOS__GROSS_SALES FROM cos</t>
  </si>
  <si>
    <t xml:space="preserve">Use when analyzing total consolidated volume including intercompany transactions, volume development, or unit cost calculations such as cost per kg and margin per kg. </t>
  </si>
  <si>
    <t>SELECT KPI_COSMOS__GROSS_SALES_QTY__IN_EX FROM cos</t>
  </si>
  <si>
    <t xml:space="preserve">Use when evaluating consolidated realized revenue after deductions and adjustments. Useful for profitability bridges and management reporting. </t>
  </si>
  <si>
    <t>SELECT KPI_COSMOS__NET_PROCEEDS FROM cos</t>
  </si>
  <si>
    <t xml:space="preserve">Use when evaluating consolidated revenue performance in profitability reporting and management reporting environments. Preferred revenue KPI for COSMOS profitability analyses. </t>
  </si>
  <si>
    <t>SELECT KPI_COSMOS__NET_SALES FROM cos</t>
  </si>
  <si>
    <t>Variable product costs</t>
  </si>
  <si>
    <t xml:space="preserve">Use when analyzing production cost efficiency, manufacturing cost development, cost inflation, cost management, and profitability drivers. </t>
  </si>
  <si>
    <t>SELECT KPI_COSMOS__PRODUCT_COSTS__VAR FROM cos</t>
  </si>
  <si>
    <t>Sales Adjustments (COSMOS)</t>
  </si>
  <si>
    <t xml:space="preserve">Use when assessing consolidated revenue corrections and adjustment impacts on profitability. Useful for variance explanations in management reporting. </t>
  </si>
  <si>
    <t>sales adjustments; revenue corrections</t>
  </si>
  <si>
    <t>SELECT KPI_COSMOS__SALES_ADJUSTMENTS FROM cos</t>
  </si>
  <si>
    <t xml:space="preserve">Use when analyzing rebate effects, discounts, commissions, and revenue deductions in consolidated profitability reporting. </t>
  </si>
  <si>
    <t>Total fixed manufacturing costs</t>
  </si>
  <si>
    <t xml:space="preserve">Use when evaluating manufacturing cost absorption, plant cost efficiency, fixed production cost structures, and MI2 profitability development. </t>
  </si>
  <si>
    <t>SELECT KPI_COSMOS__TOTAL_MANUFACTURIN FROM cos</t>
  </si>
  <si>
    <t>On-time but incomplete deliveries</t>
  </si>
  <si>
    <t xml:space="preserve">Use when identifying deliveries that met delivery timing commitments but failed quantity commitments. Useful for root-cause analysis of OTIF failures and supply-chain fulfillment issues. </t>
  </si>
  <si>
    <t>incomplete deliveries; not in full deliveries</t>
  </si>
  <si>
    <t>SELECT KPI_OTIF____OT_NOT_IN_FULL FROM o</t>
  </si>
  <si>
    <t>OTIF-compliant deliveries</t>
  </si>
  <si>
    <t xml:space="preserve">Use when measuring successful deliveries that were both on time and in full. Primary numerator for OTIF analysis and customer service performance reporting. </t>
  </si>
  <si>
    <t>SELECT KPI_OTIF____OTIF FROM o</t>
  </si>
  <si>
    <t>Deliveries with late goods issue</t>
  </si>
  <si>
    <t xml:space="preserve">Use when identifying warehouse, production, or dispatch delays that contribute to OTIF failures. Useful for supply-chain root-cause analyses. </t>
  </si>
  <si>
    <t>deliveries with with GI delay</t>
  </si>
  <si>
    <t>SELECT KPI_OTIF____LATE_GI FROM o</t>
  </si>
  <si>
    <t>Late and complete deliveries</t>
  </si>
  <si>
    <t xml:space="preserve">Use when analyzing schedule adherence issues where quantity fulfillment was achieved but delivery timing was missed. </t>
  </si>
  <si>
    <t>late in full; delayed complete deliveries</t>
  </si>
  <si>
    <t>SELECT KPI_OTIF____LATE_IF FROM o</t>
  </si>
  <si>
    <t>Late and not-in-full deliveries (NIF)</t>
  </si>
  <si>
    <t xml:space="preserve">Use when identifying the most severe OTIF failures involving both timing and quantity issues. Useful for escalation and service-level reviews. </t>
  </si>
  <si>
    <t>late not in full; delayed incomplete deliveries</t>
  </si>
  <si>
    <t>SELECT KPI_OTIF____LATE_NIF FROM o</t>
  </si>
  <si>
    <t>Deliveries with late order creation</t>
  </si>
  <si>
    <t xml:space="preserve">Use when investigating order-management process delays and administrative causes of OTIF underperformance. </t>
  </si>
  <si>
    <t>deliveries with order creation delay; deliveries with late order creation</t>
  </si>
  <si>
    <t>SELECT KPI_OTIF____LATE_CREATE FROM o</t>
  </si>
  <si>
    <t>Deliveries with transport delay</t>
  </si>
  <si>
    <t xml:space="preserve">Use when assessing carrier performance, transportation reliability, logistics provider quality, or transport-related service failures. </t>
  </si>
  <si>
    <t>SELECT KPI_OTIF____LATE_TRANSPORT FROM o</t>
  </si>
  <si>
    <t>Incomplete deliveries</t>
  </si>
  <si>
    <t xml:space="preserve">Use when monitoring quantity fulfillment performance and identifying product shortages or allocation issues. </t>
  </si>
  <si>
    <t>SELECT KPI_OTIF____NOT_IN_FULL FROM o</t>
  </si>
  <si>
    <t>On-time deliveries</t>
  </si>
  <si>
    <t xml:space="preserve">Use when measuring delivery punctuality regardless of delivered quantity. Useful for logistics performance reviews. </t>
  </si>
  <si>
    <t>on-time deliveries; punctual deliveries</t>
  </si>
  <si>
    <t>SELECT KPI_OTIF____ON_TIME FROM o</t>
  </si>
  <si>
    <t>Total deliveries</t>
  </si>
  <si>
    <t xml:space="preserve">Use as the denominator for OTIF calculations and when analyzing delivery volumes, shipment counts, or logistics workloads. </t>
  </si>
  <si>
    <t>SELECT KPI_OTIF____TOTAL_DELIVERIES FROM o</t>
  </si>
  <si>
    <t>Total late deliveries</t>
  </si>
  <si>
    <t xml:space="preserve">Use when monitoring delivery punctuality issues and logistics service failures. Useful for customer service reporting. </t>
  </si>
  <si>
    <t>late deliveries; delayed shipments</t>
  </si>
  <si>
    <t>SELECT KPI_OTIF____TOTAL_LATE FROM o</t>
  </si>
  <si>
    <t>Total late and/or incomplete deliveries</t>
  </si>
  <si>
    <t xml:space="preserve">Use when assessing all delivery failures regardless of whether the issue was timing, quantity, or both. Useful for OTIF exception analysis. </t>
  </si>
  <si>
    <t>OTIF exceptions; non-compliant deliveries</t>
  </si>
  <si>
    <t>SELECT KPI_OTIF____TOTAL_LATE_OT_NIF FROM o</t>
  </si>
  <si>
    <t>Agreed delivery quantity</t>
  </si>
  <si>
    <t xml:space="preserve">Use when analyzing customer order commitments and when comparing ordered versus delivered quantities in fulfillment analyses. </t>
  </si>
  <si>
    <t>SELECT KPI_OTIF__1__AGREED_QUANTITY_KG FROM o</t>
  </si>
  <si>
    <t>Actually delivered quantity</t>
  </si>
  <si>
    <t xml:space="preserve">Use when evaluating actual shipment volumes, fulfillment levels, and delivery performance against customer commitments. </t>
  </si>
  <si>
    <t>SELECT KPI_OTIF__DELIVERY_QUANTITY_KG FROM o</t>
  </si>
  <si>
    <t xml:space="preserve">Overdelivery quantity </t>
  </si>
  <si>
    <t xml:space="preserve">Use when analyzing excessive deliveries, fulfillment deviations, or customer oversupply situations. </t>
  </si>
  <si>
    <t>SELECT KPI_OTIF__OVERDELIVERY_KG FROM o</t>
  </si>
  <si>
    <t xml:space="preserve">Quantity deviation </t>
  </si>
  <si>
    <t xml:space="preserve">Use when evaluating delivery accuracy and identifying fulfillment deviations from agreed customer quantities. </t>
  </si>
  <si>
    <t>SELECT KPI_OTIF__QTY_DEVIATION_KG FROM o</t>
  </si>
  <si>
    <t xml:space="preserve">Underdelivery quantity </t>
  </si>
  <si>
    <t xml:space="preserve">Use when identifying shortages, fulfillment gaps, customer service failures, and causes of OTIF misses. </t>
  </si>
  <si>
    <t>SELECT KPI_OTIF__UNDERDELIVERY_KG FROM o</t>
  </si>
  <si>
    <t>Order Volume</t>
  </si>
  <si>
    <t xml:space="preserve">Use when analyzing sales volume, shipment volume, customer demand, volume growth, product demand trends, or regional sales quantities. </t>
  </si>
  <si>
    <t>SELECT KPI_SALES__DELIVERY_QUANTITY_KG FROM s</t>
  </si>
  <si>
    <t>Net value of delivery item</t>
  </si>
  <si>
    <t xml:space="preserve">Use when analyzing delivery-level revenue in original transaction currency, invoice values before currency conversion, or local-currency shipment values. Do not use for consolidated management reporting across countries. </t>
  </si>
  <si>
    <t xml:space="preserve">Question BP: do we need this KPI as we said to have only one currency (EUR)
</t>
  </si>
  <si>
    <t>Net value of delivery</t>
  </si>
  <si>
    <t xml:space="preserve">Use when analyzing shipment revenue, order fulfillment value, customer delivery value, or revenue by product, customer, region, and period in EUR. Preferred delivery-value KPI for cross-country reporting. </t>
  </si>
  <si>
    <t>SELECT KPI_SALES__NET_VALUE_DELIVERY_EUR FROM s</t>
  </si>
  <si>
    <t>🟡 Yellow rows = example metrics from product reference model. SQL uses {placeholders} resolved at runtime. Replace with your client's metric definitions before use.</t>
  </si>
  <si>
    <t>GROUND TRUTH — ASK ZORA</t>
  </si>
  <si>
    <t>One row per question-answer pair. These are the verified examples the AI uses to validate its behaviour. The more complete and accurate these rows are, the better the AI performs.</t>
  </si>
  <si>
    <t>ℹ  Instructions: One row per Q&amp;A pair. sample_question = exact user phrasing to test. calculation_logic = step-by-step plain English (the AI reads this to understand HOW to answer). sql_query = verified SQL that produces the correct result against your data. expected_answer = the verified correct output (numbers + narrative). comments = edge cases, known issues, or logic notes for the team.</t>
  </si>
  <si>
    <t>id</t>
  </si>
  <si>
    <t>sample_question</t>
  </si>
  <si>
    <t>source_tables</t>
  </si>
  <si>
    <t>calculation_logic</t>
  </si>
  <si>
    <t>metric_used</t>
  </si>
  <si>
    <t>sql_query</t>
  </si>
  <si>
    <t>expected_answer</t>
  </si>
  <si>
    <t>comments</t>
  </si>
  <si>
    <t>What was the total net sales for Q2 2025?</t>
  </si>
  <si>
    <t>copa</t>
  </si>
  <si>
    <t xml:space="preserve"> 1) Filter copa table where core_business_indicator = 'C', 'P' or 'T'  and calendar_day is in Q2 2025 (Apr 1 - Jun 30, calendar quarter assumed). 2) SUM(Net Sales).</t>
  </si>
  <si>
    <t>SELECT ROUND(SUM(c.net_sales), 2) AS net_sales
FROM copa c
WHERE c.core_business_indicator IN ('C', 'P', 'T') AND c.posting_date BETWEEN '2025-04-01' AND '2025-06-30';</t>
  </si>
  <si>
    <t>Pending</t>
  </si>
  <si>
    <t>April to June is considered as Q2</t>
  </si>
  <si>
    <t>Show me revenue by region for full year 2025, sorted highest to lowest</t>
  </si>
  <si>
    <t>1) Filter copa table where core_business_indicator = core_business_indicator = 'C', 'P' or 'T' and calendar_day is in FY2025. 2) Group by Region ship-to. 3) SUM(Net Sales) per region. 4) Sort descending.</t>
  </si>
  <si>
    <t>SELECT c.region_ship_to,
       ROUND(SUM(c.net_sales), 2) AS net_sales
FROM copa c
WHERE c.core_business_indicator IN ('C', 'P', 'T') AND c.posting_date BETWEEN '2025-01-01' AND '2025-12-31'
GROUP BY c.region_ship_to
ORDER BY net_sales DESC;</t>
  </si>
  <si>
    <t>"Region" defaulted to Region ship-to (delivery region). If it is ambigiguos, then Agent should ask or give all possible answers</t>
  </si>
  <si>
    <t>Show me delta from month Jan 2025 to March 2026 on Marketing level 3</t>
  </si>
  <si>
    <t>1) Compute Net Sales per Marketing Level 3 for Jan 2025. 2) Compute Net Sales per Marketing Level 3 for Mar 2026. 3) Subtract period A from period B per Marketing Level 3 value (full outer join to catch categories present in only one period).</t>
  </si>
  <si>
    <t>WITH period_a AS (
  SELECT c.marketing_level_3, SUM(c.net_sales) AS net_sales
  FROM copa c
  WHERE c.core_business_indicator IN ('C', 'P', 'T') AND c.posting_date BETWEEN '2025-01-01' AND '2025-01-31'
  GROUP BY c.marketing_level_3
),
period_b AS (
  SELECT c.marketing_level_3, SUM(c.net_sales) AS net_sales
  FROM copa c
  WHERE c.core_business_indicator IN ('C', 'P', 'T') AND c.posting_date BETWEEN '2026-03-01' AND '2026-03-31'
  GROUP BY c.marketing_level_3
)
SELECT COALESCE(a.marketing_level_3, b.marketing_level_3) AS marketing_level_3,
       ROUND(COALESCE(b.net_sales,0) - COALESCE(a.net_sales,0), 2) AS net_sales_delta
FROM period_a a
FULL OUTER JOIN period_b b ON a.marketing_level_3 = b.marketing_level_3
ORDER BY net_sales_delta DESC;</t>
  </si>
  <si>
    <t>Metric not stated in the question — assumed Copa Net Sales. "Month" interpreted as the full calendar month.</t>
  </si>
  <si>
    <t>Margin</t>
  </si>
  <si>
    <t xml:space="preserve">How did our marginal income change from Q1 2026 to Q2 2026?
</t>
  </si>
  <si>
    <t>cosmos</t>
  </si>
  <si>
    <t>1) Compute Consolidated Marginal Income I for Q1 2026 (Jan-Mar). 2) Compute for Q2 2026 (Apr-Jun). 3) Report absolute and % delta.</t>
  </si>
  <si>
    <t>WITH q1 AS (
  SELECT SUM(cm.consolidated_marginal_income_i) AS cmi1
  FROM cosmos cm
  WHERE cm.core_business_indicator IN ('C', 'P', 'T') AND cm.calendar_day BETWEEN '2026-01-01' AND '2026-03-31'
),
q2 AS (
  SELECT SUM(cm.consolidated_marginal_income_i) AS cmi1
  FROM cosmos cm
  WHERE cm.core_business_indicator IN ('C', 'P', 'T') AND cm.calendar_day BETWEEN '2026-04-01' AND '2026-06-30'
)
SELECT ROUND(q2.cmi1 - q1.cmi1, 2) AS cmi1_delta,
       ROUND(100.0 * (q2.cmi1 - q1.cmi1) / NULLIF(q1.cmi1, 0), 1) AS cmi1_delta_pct
FROM q1, q2;</t>
  </si>
  <si>
    <t>"Marginal income" defaulted to CMI I (not CMI IIa) since unspecified. Uses the stored Consolidated Marginal Income I column directly rather than recomputing from Gross Sales/Deductions/Adjustments/Product Costs</t>
  </si>
  <si>
    <t>What are the top 3 of less performing product in PH3 in reference to marginal income 1?</t>
  </si>
  <si>
    <t>1) SUM(CMI I) per Material within the given PH3 category. 2) Rank ascending. 3) Return bottom 3.</t>
  </si>
  <si>
    <t>SELECT cm.material,
       ROUND(SUM(cm.consolidated_marginal_income_i), 2) AS cmi1
FROM cosmos cm
WHERE cm.core_business_indicator IN ('C', 'P', 'T') AND cm.prod_hier_3 = '{ph3_value}'
GROUP BY cm.material
ORDER BY cmi1 ASC
LIMIT 3;</t>
  </si>
  <si>
    <t xml:space="preserve">Less performing" interpreted as lowest total CMI I (absolute EUR), not lowest CMI I per kg or lowest margin % </t>
  </si>
  <si>
    <t>Order</t>
  </si>
  <si>
    <t>How did order volume grow from HY2025 to HY2026?</t>
  </si>
  <si>
    <t>sales</t>
  </si>
  <si>
    <t>1) SUM(Delivery Quantity KG) for HY2025 (Jan-Jun 2025). 2) Same for HY2026 (Jan-Jun 2026). 3) % change.</t>
  </si>
  <si>
    <t>WITH hy2025 AS (
  SELECT SUM(s.delivery_quantity_kg) AS volume
  FROM sales s
  WHERE s.core_business_indicator IN ('C', 'P', 'T') AND s.act_gi_day BETWEEN '2025-01-01' AND '2025-06-30'
),
hy2026 AS (
  SELECT SUM(s.delivery_quantity_kg) AS volume
  FROM sales s
  WHERE s.core_business_indicator IN ('C', 'P', 'T') AND s.act_gi_day BETWEEN '2026-01-01' AND '2026-06-30'
)
SELECT ROUND(100.0 * (hy2026.volume - hy2025.volume) / NULLIF(hy2025.volume, 0), 1) AS volume_growth_pct
FROM hy2025, hy2026;</t>
  </si>
  <si>
    <t xml:space="preserve">"Order volume" measures delivered shipment volume </t>
  </si>
  <si>
    <t>What is the average order volume size in FY2025, by BE?</t>
  </si>
  <si>
    <t>1) SUM(Delivery Quantity KG) per SBE for FY2025. 2) COUNT(*) rows per SBE (proxy for number of deliveries). 3) Divide.</t>
  </si>
  <si>
    <t>SELECT s.sbe,
       ROUND(SUM(s.delivery_quantity_kg) / NULLIF(COUNT(*), 0), 1) AS avg_delivery_volume_kg
FROM sales s
WHERE s.core_business_indicator IN ('C', 'P', 'T')  AND s.act_gi_day BETWEEN '2025-01-01' AND '2025-12-31'
GROUP BY s.sbe;</t>
  </si>
  <si>
    <t>WAT</t>
  </si>
  <si>
    <t>What percentage of our Account Receivables is overdue as of end of 2025?</t>
  </si>
  <si>
    <t>1) Take the AR-KeyDate snapshot at/nearest 2025-12-31 (it is a snapshot table). 2) SUM(Amount in EUR) WHERE Net due date &lt; 2025-12-31 = overdue. 3) SUM(Amount in EUR) total for that snapshot. 4) Divide, x100.</t>
  </si>
  <si>
    <t>WITH snapshot AS (
  SELECT MAX(posting_date) AS snap_date
  FROM ar_keydate
  WHERE posting_date &lt;= '2025-12-31'
)
SELECT ROUND(100.0 *
    SUM(CASE WHEN kd.net_due_date &lt; '2025-12-31' THEN kd.amount_in_eur ELSE 0 END)
    / NULLIF(SUM(kd.amount_in_eur), 0), 1) AS pct_overdue
FROM ar_keydate kd, snapshot
WHERE kd.posting_date = snapshot.snap_date;</t>
  </si>
  <si>
    <t>What's our OTIF rate by carrier over the last quarter, and which failure reason is driving the misses?</t>
  </si>
  <si>
    <t>otif</t>
  </si>
  <si>
    <t>1) OTIF Rate per Carrier for the last quarter. 2) Breakdown of failure-reason counts (# late GI, # late create, # late transport, # not in full) per carrier, to identify the dominant driver.</t>
  </si>
  <si>
    <t>SELECT o.carrier,
       ROUND(100.0 * SUM(o.otif_count) / NULLIF(SUM(o.total_deliveries), 0), 1) AS otif_rate,
       SUM(o.late_gi) AS late_goods_issue,
       SUM(o.late_create) AS late_order_creation,
       SUM(o.late_transport) AS late_transport,
       SUM(o.not_in_full) AS not_in_full
FROM otif o
WHERE o.act_gi_day BETWEEN {quarter_start} AND {quarter_end}
GROUP BY o.carrier
ORDER BY otif_rate ASC;</t>
  </si>
  <si>
    <t>Which products have the widest gap between MI1% and MI2a%, and is that gap driven by fixed cost?</t>
  </si>
  <si>
    <t>1) MI1% and MI2a% per Material. 2) Gap = MI1% - MI2a%. 3) Rank descending by gap (widest gap = most fixed-cost burden relative to variable margin).</t>
  </si>
  <si>
    <t>MI1 in %, MI2a in %</t>
  </si>
  <si>
    <t>SELECT cm.material,
       ROUND(100.0 * SUM(cm.consolidated_marginal_income_i) / NULLIF(SUM(cm.net_sales), 0), 1) AS mi1_pct,
       ROUND(100.0 * SUM(cm.consolidated_marginal_income_ii_a) / NULLIF(SUM(cm.net_sales), 0), 1) AS mi2a_pct,
       ROUND(100.0 * (SUM(cm.consolidated_marginal_income_i) - SUM(cm.consolidated_marginal_income_ii_a))
             / NULLIF(SUM(cm.net_sales), 0), 1) AS gap_pp
FROM cosmos cm
GROUP BY cm.material
ORDER BY gap_pp DESC
LIMIT 10;
12 answerable prompts (ids 1,2,3,4,5,6,8,9,10,11,12,13) + 1 documented rejection (id 7, with a working replacement at id 11). ids 1-4 rewritten from the original draft to fix the master_sales_table/core_business_indicator/CMI-I-sign-error bugs already caught in KPI Cards. Every SQL query deliberately omits core_business_indicator pending the client discussion, per the same decision made for KPI Cards and Daily News Logic.</t>
  </si>
  <si>
    <t>How is the order volume pipeline for customer xy for the next 3 months?</t>
  </si>
  <si>
    <t>Show me the WAT of ship to customer xy and show the deviation to target</t>
  </si>
  <si>
    <t>WAT Receivables, Target WAT</t>
  </si>
  <si>
    <t>🟡 Yellow rows = example Q&amp;A pairs. Replace expected_answer with values from YOUR data. Verify every SQL query against your actual database before deploying.</t>
  </si>
  <si>
    <t>KPI CARDS</t>
  </si>
  <si>
    <t>One row per KPI card widget. KPI cards display a single headline metric with a comparison badge. They run SQL directly — no AI generation. The SQL must return exactly one row.</t>
  </si>
  <si>
    <t>ℹ  Instructions: main_value_sql returns the primary number shown on the card (one row, one column: metric_value). comparison_sql returns the badge value (e.g. MoM change) — also one row. favorable_direction: 'higher' if a bigger number is good (e.g. revenue), 'lower' if a smaller number is good (e.g. DSO, overdue %). target_value is the goal shown in the footnote. Leave blank if no target is defined.</t>
  </si>
  <si>
    <t>card_id</t>
  </si>
  <si>
    <t>card_title</t>
  </si>
  <si>
    <t>main_value_description</t>
  </si>
  <si>
    <t>main_value_sql</t>
  </si>
  <si>
    <t>comparison_label</t>
  </si>
  <si>
    <t>comparison_sql</t>
  </si>
  <si>
    <t>footnote</t>
  </si>
  <si>
    <t>target_value</t>
  </si>
  <si>
    <t>favorable_direction</t>
  </si>
  <si>
    <t>kpi_net_sales_mtd</t>
  </si>
  <si>
    <t>Net Sales</t>
  </si>
  <si>
    <t>Total Net Sales for the current month, in € millions</t>
  </si>
  <si>
    <t>SELECT ROUND(SUM(c.KPI_COPA__NET_SALES) / 1000000.0, 2) AS metric_value
FROM cop c
WHERE c.core_business_indicator IN ('C', 'P', 'T') AND c.POSTING_DATE &gt;= DATE_TRUNC('month', CURRENT_DATE)
  AND c.POSTING_DATE &lt;= CURRENT_DATE;</t>
  </si>
  <si>
    <t>vs. prior year (same month), %</t>
  </si>
  <si>
    <t>WITH curr AS (
  SELECT SUM(c.KPI_COPA__NET_SALES) AS net_sales
  FROM cop c
  WHERE  c.core_business_indicator IN ('C', 'P', 'T') AND c.POSTING_DATE &gt;= DATE_TRUNC('month', CURRENT_DATE)
    AND c.POSTING_DATE &lt;= CURRENT_DATE
),
prior AS (
  SELECT SUM(c.KPI_COPA__NET_SALES) AS net_sales
  FROM cop c
  WHERE  c.core_business_indicator IN ('C', 'P', 'T') AND c.POSTING_DATE &gt;= DATEADD(year, -1, DATE_TRUNC('month', CURRENT_DATE))
    AND c.POSTING_DATE &lt;= DATEADD(year, -1, CURRENT_DATE)
)
SELECT ROUND(100.0 * (curr.net_sales - prior.net_sales) / NULLIF(prior.net_sales, 0), 1) AS metric_value
FROM curr, prior;</t>
  </si>
  <si>
    <t>vs prior year</t>
  </si>
  <si>
    <t>higher</t>
  </si>
  <si>
    <t xml:space="preserve">Single-table query against copa, alias cop. Uses  the column KPI_COPA__NET_SALES directly (= Gross Sales - Sales Deductions). </t>
  </si>
  <si>
    <t>kpi_cmi1_ytd</t>
  </si>
  <si>
    <t>Marginal Income 1</t>
  </si>
  <si>
    <t>Consolidated Marginal Income I, year-to-date, in € millions</t>
  </si>
  <si>
    <t>SELECT ROUND(SUM(cm.KPI_COSMOS__CONSOLIDATED_MARGIN_I) / 1000000.0, 2) AS metric_value
FROM cos cm
WHERE  cm.core_business_indicator IN ('C', 'P', 'T') AND cm.CALENDAR_DAY &gt;= DATE_TRUNC('year', CURRENT_DATE)
  AND cm.CALENDAR_DAY &lt;= CURRENT_DATE;</t>
  </si>
  <si>
    <t>vs. prior year, %</t>
  </si>
  <si>
    <t>WITH curr AS (
  SELECT SUM(cm.KPI_COSMOS__CONSOLIDATED_MARGIN_I) AS cmi1
  FROM cos cm
  WHERE   cm.core_business_indicator IN ('C', 'P', 'T') AND cm.CALENDAR_DAY &gt;= DATE_TRUNC('year', CURRENT_DATE)
    AND cm.CALENDAR_DAY &lt;= CURRENT_DATE
),
prior AS (
  SELECT SUM(cm.KPI_COSMOS__CONSOLIDATED_MARGIN_I) AS cmi1
  FROM cos cm
  WHERE   c.core_business_indicator IN ('C', 'P', 'T') AND cm.CALENDAR_DAY &gt;= DATEADD(year, -1, DATE_TRUNC('year', CURRENT_DATE))
    AND cm.CALENDAR_DAY &lt;= DATEADD(year, -1, CURRENT_DATE)
)
SELECT ROUND(100.0 * (curr.cmi1 - prior.cmi1) / NULLIF(prior.cmi1, 0), 1) AS metric_value
FROM curr, prior;</t>
  </si>
  <si>
    <t>Single-table query against cosmos, alias cos. Uses the column KPI_COSMOS__CONSOLIDATED_MARGIN_I  column directly (validated = Net Proceeds - Product Costs Var).</t>
  </si>
  <si>
    <t>kpi_volume_mtd</t>
  </si>
  <si>
    <t>Total delivered volume for the current month, in kg</t>
  </si>
  <si>
    <t xml:space="preserve">SELECT ROUND(SUM(s.KPI_SALES__DELIVERY_QUANTITY_KG), 0) AS metric_value
FROM sales s
WHERE  s.core_business_indicator IN ('C', 'P', 'T') AND s.ACT__GI_DAY &gt;= DATE_TRUNC('month', CURRENT_DATE)
  AND s.ACT__GI_DAY &lt;= CURRENT_DATE;
</t>
  </si>
  <si>
    <t>vs. prior month, %</t>
  </si>
  <si>
    <t>WITH curr AS (
  SELECT SUM(s.KPI_SALES__DELIVERY_QUANTITY_KG) AS volume
  FROM sales s
  WHERE s.core_business_indicator IN ('C', 'P', 'T') AND s.ACT__GI_DAY &gt;= DATE_TRUNC('month', CURRENT_DATE)
    AND s.ACT__GI_DAY &lt;= CURRENT_DATE
),
prior AS (
  SELECT SUM(s.KPI_SALES__DELIVERY_QUANTITY_KG) AS volume
  FROM sales s
  WHERE s.core_business_indicator IN ('C', 'P', 'T')  AND s.ACT__GI_DAY &gt;= DATEADD(month, -1, DATE_TRUNC('month', CURRENT_DATE))
    AND s.ACT__GI_DAY &lt;= DATEADD(month, -1, CURRENT_DATE)
)
SELECT ROUND(100.0 * (curr.volume - prior.volume) / NULLIF(prior.volume, 0), 1) AS metric_value
FROM curr, prior;</t>
  </si>
  <si>
    <t>vs prior month</t>
  </si>
  <si>
    <t>Single-table query against sales. Uses the column KPI_SALES__DELIVERY_QUANTITY_KG directly and filtered on ACT__GI_DAY.</t>
  </si>
  <si>
    <t>kpi_wat_mtd</t>
  </si>
  <si>
    <t>Weighted average term</t>
  </si>
  <si>
    <t>Amount-weighted average payment term (WAT) across open receivables for the current month, in days</t>
  </si>
  <si>
    <t>SELECT ROUND(SUM(pm.KPI_AR_PM__WAT_RECEIVABLES * pm.KPI_AR_PM__AMOUNT_EUR) / NULLIF(SUM(pm.KPI_AR_PM__AMOUNT_EUR), 0), 1) AS metric_value
FROM pm
WHERE pm.core_business_indicator IN ('C', 'P', 'T') AND pm.POSTING_DATE &gt;= DATE_TRUNC('month', CURRENT_DATE)
  AND pm.POSTING_DATE&lt;= CURRENT_DATE;</t>
  </si>
  <si>
    <t>vs. target, days</t>
  </si>
  <si>
    <t>WITH actual AS (
  SELECT SUM(pm.KPI_AR_PM__WAT_RECEIVABLES* pm.KPI_AR_PM__AMOUNT_EUR) / NULLIF(SUM(pm.KPI_AR_PM__AMOUNT_EUR), 0) AS wat
  FROM  pm
  WHERE pm.core_business_indicator IN ('C', 'P', 'T') AND pm.posting_date &gt;= DATE_TRUNC('month', CURRENT_DATE)
    AND pm.posting_date &lt;= CURRENT_DATE
),
target AS (
  SELECT SUM(kd.KPI_AR_KEYDATE__WEIGHTED_TARGET_DAYS) / NULLIF(SUM(kd.KPI_AR_KEYDATE__AMOUNT_IN_EUR), 0) AS target_days
  FROM  kd
  WHERE kd.core_business_indicator IN ('C', 'P', 'T') AND kd.posting_date = (
    SELECT MAX(posting_date) FROM kd WHERE posting_date &lt;= CURRENT_DATE
  )
)
SELECT ROUND(actual.wat - target.target_days, 1) AS metric_value
FROM actual, target;</t>
  </si>
  <si>
    <t>vs target</t>
  </si>
  <si>
    <t>lower</t>
  </si>
  <si>
    <t>AR-PM, AR-KeyDate</t>
  </si>
  <si>
    <r>
      <rPr>
        <sz val="9"/>
        <color rgb="FF000000"/>
        <rFont val="Arial"/>
      </rPr>
      <t xml:space="preserve">Two independent tables, no row-level join — AR-PM (transactional, per posting/due-date) is aggregated on its own for the actual value; AR-KeyDate (a month-end snapshot) is aggregated separately for the target.
</t>
    </r>
    <r>
      <rPr>
        <sz val="9"/>
        <color rgb="FFFF0000"/>
        <rFont val="Arial"/>
      </rPr>
      <t xml:space="preserve">WAT_receivables needs to be checked if we are directly receiving from the real data KPI, or should we use the formula. Also, the values from 2 tables needs to be verified.
</t>
    </r>
  </si>
  <si>
    <t>kpi_otif_mtd</t>
  </si>
  <si>
    <t>OTIF %</t>
  </si>
  <si>
    <t>Percentage of deliveries completed on time and in full for the current month</t>
  </si>
  <si>
    <t>SELECT ROUND(100.0 * SUM(o.KPI_OTIF____OTIF) / NULLIF(SUM(o.KPI_OTIF____TOTAL_DELIVERIES), 0), 1) AS metric_value
FROM otif o
WHERE o.core_business_indicator IN ('C', 'P', 'T') AND o.ACT__GI_DAY&gt;= DATE_TRUNC('month', CURRENT_DATE)
  AND o.ACT__GI_DAY&lt;= CURRENT_DATE;</t>
  </si>
  <si>
    <t>vs. prior month, pp</t>
  </si>
  <si>
    <t>WITH curr AS (
  SELECT 100.0 * SUM(o.KPI_OTIF____OTIF) / NULLIF(SUM(o.KPI_OTIF____TOTAL_DELIVERIES), 0) AS pct
  FROM otif o
  WHERE  o.core_business_indicator IN ('C', 'P', 'T') AND o.ACT__GI_DAY&gt;= DATE_TRUNC('month', CURRENT_DATE)
    AND o.ACT__GI_DAY &lt;= CURRENT_DATE
),
prior AS (
  SELECT 100.0 * SUM(o.KPI_OTIF____OTIF) / NULLIF(SUM(o.KPI_OTIF____TOTAL_DELIVERIES), 0) AS pct
  FROM otif o
  WHERE o.core_business_indicator IN ('C', 'P', 'T') AND o.ACT__GI_DAY&gt;= DATEADD(month, -1, DATE_TRUNC('month', CURRENT_DATE))
    AND o.ACT__GI_DAY&lt;= DATEADD(month, -1, CURRENT_DATE)
)
SELECT ROUND(curr.pct - prior.pct, 1) AS metric_value
FROM curr, prior;</t>
  </si>
  <si>
    <t>Single-table query against otif. KPI_OTIF____OTIF and KPI_OTIF____TOTAL_DELIVERIES are confirmed used for calculation.</t>
  </si>
  <si>
    <t>kpi_cmi1_pct_ytd</t>
  </si>
  <si>
    <t>Consolidated Marginal Income I as a percentage of Net Sales, year-to-date</t>
  </si>
  <si>
    <t>SELECT ROUND(100.0 * SUM(cm.KPI_COSMOS__CONSOLIDATED_MARGIN_I) / NULLIF(SUM(cm.KPI_COSMOS__NET_SALES), 0), 1) AS metric_value
FROM cos cm
WHERE cm.core_business_indicator IN ('C', 'P', 'T') AND cm.calendar_day &gt;= DATE_TRUNC('year', CURRENT_DATE)
  AND cm.calendar_day &lt;= CURRENT_DATE;</t>
  </si>
  <si>
    <t>vs. prior year, pp</t>
  </si>
  <si>
    <t>WITH curr AS (
  SELECT 100.0 * SUM(cm.KPI_COSMOS__CONSOLIDATED_MARGIN_I) / NULLIF(SUM(cm.KPI_COSMOS__NET_SALES), 0) AS pct
  FROM cos cm
  WHERE cm.core_business_indicator IN ('C', 'P', 'T') AND cm.calendar_day &gt;= DATE_TRUNC('year', CURRENT_DATE)
    AND cm.calendar_day &lt;= CURRENT_DATE
),
prior AS (
  SELECT 100.0 * SUM(cm.KPI_COSMOS__CONSOLIDATED_MARGIN_I) / NULLIF(SUM(cm.KPI_COSMOS__NET_SALES), 0) AS pct
  FROM cos cm
  WHERE cm.core_business_indicator IN ('C', 'P', 'T') AND cm.calendar_day &gt;= DATEADD(year, -1, DATE_TRUNC('year', CURRENT_DATE))
    AND cm.calendar_day &lt;= DATEADD(year, -1, CURRENT_DATE)
)
SELECT ROUND(curr.pct - prior.pct, 1) AS metric_value
FROM curr, prior;</t>
  </si>
  <si>
    <t>Single-table query against cosmos. Denominator is the stored KPI_COSMOS__NET_SALES column (Gross Sales - Sales Deductions).</t>
  </si>
  <si>
    <t>🟡 Yellow rows = example KPI card definitions. {placeholders} are resolved at runtime. Verify each SQL returns exactly ONE row before deploying.</t>
  </si>
  <si>
    <t>clarifications</t>
  </si>
  <si>
    <t>Technical name have been used for column names</t>
  </si>
  <si>
    <t>Table name or Alias have been used</t>
  </si>
  <si>
    <t>How should the date be filtered, currently uses current date, but if the data is old then it has to be fixed</t>
  </si>
  <si>
    <t>Core Business Indicator have been used now for all KPIs</t>
  </si>
  <si>
    <t>PERFORMANCE PULSE</t>
  </si>
  <si>
    <t>One row per Performance Pulse widget. Each widget runs SQL, then the AI generates a structured response (chart + table + narrative) according to the output_format template. Different from KPI cards — these produce generated language.</t>
  </si>
  <si>
    <t>ℹ  Instructions: sql_query produces the raw data. ground_truth = verified numbers the AI response must match. output_format = the exact structure the AI must follow (chart type, table columns, narrative shape). sample_prompt = the user question that triggers this widget. testing_notes = known issues or edge cases.</t>
  </si>
  <si>
    <t>pp_id</t>
  </si>
  <si>
    <t>pp_grouping</t>
  </si>
  <si>
    <t>pp_title</t>
  </si>
  <si>
    <t>what_it_shows</t>
  </si>
  <si>
    <t>ground_truth</t>
  </si>
  <si>
    <t>output_format</t>
  </si>
  <si>
    <t>sample_prompt</t>
  </si>
  <si>
    <t>testing_notes</t>
  </si>
  <si>
    <t>PP-01</t>
  </si>
  <si>
    <t>Financial Performance – Seller View</t>
  </si>
  <si>
    <t>Financial Performance per Customer – MM YYYY YTD</t>
  </si>
  <si>
    <t>Net Sales, Order volume, Marginal Income 1 and Marginal Income 2a (incl. Marginal Income 1 and Marginal Income 2a in relation to Net Sales and Order Volume) per top 50 customer - ranked by Volume (incl. totals) in YTD view, enabling fiancial overview of the performance of the top 50 customers</t>
  </si>
  <si>
    <t>1) Filter COSMOS to the configured current fiscal YTD (January through the current reporting cutoff) and apply the approved core-business filter. 2) Group by Sold-to booked customer. 3) Sum COSMOS Net Sales, Gross Sales Quantity (in+ex) as Order Volume, Consolidated Marginal Income I, and Consolidated Marginal Income IIa. 4) Calculate MI1 % = MI1 / Net Sales × 100, MI1 per kg = MI1 / Order Volume, and MI2a % = MI2a / Net Sales × 100; return blank where the denominator is zero. 5) Rank customers by Order Volume descending and keep the top 50. 6) Add a total row by summing the top-50 base amounts and recalculating each ratio from those totals; do not average customer percentages.</t>
  </si>
  <si>
    <t>WITH customer_ytd AS (
  SELECT
    COALESCE(SOLD_TO2, TO_VARCHAR(SOLD_TO), 'Unknown') AS customer,
    SUM(KPI_COSMOS__GROSS_SALES_QTY__IN_EX) AS volume_kg,
    SUM(KPI_COSMOS__NET_SALES) AS net_sales_eur,
    SUM(KPI_COSMOS__CONSOLIDATED_MARGIN_I) AS mi1_eur,
    SUM(KPI_COSMOS__CONSOLIDATED_MARGIN_IIa) AS mi2a_eur
  FROM cos
  WHERE CORE_BUSINESS_INDICATOR IN ('C', 'P', 'T')
    AND CALENDAR_DAY BETWEEN DATE_TRUNC('year', TO_DATE('{reporting_date}'))
                         AND TO_DATE('{reporting_date}')
  GROUP BY SOLD_TO, SOLD_TO2
),
top_50 AS (
  SELECT *, ROW_NUMBER() OVER (ORDER BY volume_kg DESC, customer) AS rank_no
  FROM customer_ytd
  QUALIFY rank_no &lt;= 50
),
results AS (
  SELECT
    rank_no AS sort_order, customer, volume_kg, net_sales_eur, mi1_eur,
    100 * mi1_eur / NULLIF(net_sales_eur, 0) AS mi1_pct,
    mi1_eur / NULLIF(volume_kg, 0) AS mi1_eur_per_kg,
    mi2a_eur,
    100 * mi2a_eur / NULLIF(net_sales_eur, 0) AS mi2a_pct
  FROM top_50
  UNION ALL
  SELECT
    999999, 'TOTAL TOP 50', SUM(volume_kg), SUM(net_sales_eur), SUM(mi1_eur),
    100 * SUM(mi1_eur) / NULLIF(SUM(net_sales_eur), 0),
    SUM(mi1_eur) / NULLIF(SUM(volume_kg), 0),
    SUM(mi2a_eur),
    100 * SUM(mi2a_eur) / NULLIF(SUM(net_sales_eur), 0)
  FROM top_50
)
SELECT
  customer AS sold_to_booked,
  ROUND(volume_kg, 0) AS volume_kg,
  ROUND(net_sales_eur, 2) AS net_sales_eur,
  ROUND(mi1_eur, 2) AS marginal_income_1_eur,
  ROUND(mi1_pct, 1) AS mi1_pct,
  ROUND(mi1_eur_per_kg, 2) AS mi1_eur_per_kg,
  ROUND(mi2a_eur, 2) AS marginal_income_2a_eur,
  ROUND(mi2a_pct, 1) AS mi2a_pct
FROM results
ORDER BY sort_order;</t>
  </si>
  <si>
    <t>Table: Sold to booked | Volume | Net Sales | Marginal Income 1 | MI1 in % | MI1 per kg | Marginal Income 2a | MI2a in %
Narrative: 1 opening sentence (total attainment). Then 3–4 bullets covering top performer and any notable pattern</t>
  </si>
  <si>
    <t>Show me the YTD financial performance of our top 50 customers</t>
  </si>
  <si>
    <t>user selects reporting date.</t>
  </si>
  <si>
    <t>Operational View</t>
  </si>
  <si>
    <t>Net Sales, Order volume, Marginal Income 1 and Marginal Income 2a (incl. Marginal Income 1 and Marginal Income 2a in relation to Net Sales) for the current YTD and the YTD a year ago, enabling absolute and relative deviation analysis of the financial performance</t>
  </si>
  <si>
    <t>1) Define current YTD as January through the configured reporting cutoff and prior YTD as the same dates one year earlier. 2) Filter COSMOS to each period using the approved core-business filter. 3) For each period, sum Net Sales, Gross Sales Quantity (in+ex) as Order Volume, Consolidated Marginal Income I, and Consolidated Marginal Income IIa. 4) Calculate MI1 % = MI1 / Net Sales × 100 and MI2a % = MI2a / Net Sales × 100; return blank where Net Sales is zero. 5) Create one row per KPI and unit. 6) Calculate D abs = current YTD − prior YTD and D % = D abs / prior YTD × 100; for percentage KPIs, show the absolute change in percentage points and the relative change in D %.</t>
  </si>
  <si>
    <t>WITH totals AS (
  SELECT
    SUM(CASE WHEN CALENDAR_DAY &gt;= DATE_TRUNC('year', TO_DATE('{reporting_date}'))
              THEN KPI_COSMOS__NET_SALES ELSE 0 END) AS curr_sales,
    SUM(CASE WHEN CALENDAR_DAY &lt; DATE_TRUNC('year', TO_DATE('{reporting_date}'))
              THEN KPI_COSMOS__NET_SALES ELSE 0 END) AS prev_sales,
    SUM(CASE WHEN CALENDAR_DAY &gt;= DATE_TRUNC('year', TO_DATE('{reporting_date}'))
              THEN KPI_COSMOS__GROSS_SALES_QTY__IN_EX ELSE 0 END) AS curr_volume,
    SUM(CASE WHEN CALENDAR_DAY &lt; DATE_TRUNC('year', TO_DATE('{reporting_date}'))
              THEN KPI_COSMOS__GROSS_SALES_QTY__IN_EX ELSE 0 END) AS prev_volume,
    SUM(CASE WHEN CALENDAR_DAY &gt;= DATE_TRUNC('year', TO_DATE('{reporting_date}'))
              THEN KPI_COSMOS__CONSOLIDATED_MARGIN_I ELSE 0 END) AS curr_mi1,
    SUM(CASE WHEN CALENDAR_DAY &lt; DATE_TRUNC('year', TO_DATE('{reporting_date}'))
              THEN KPI_COSMOS__CONSOLIDATED_MARGIN_I ELSE 0 END) AS prev_mi1,
    SUM(CASE WHEN CALENDAR_DAY &gt;= DATE_TRUNC('year', TO_DATE('{reporting_date}'))
              THEN KPI_COSMOS__CONSOLIDATED_MARGIN_IIa ELSE 0 END) AS curr_mi2a,
    SUM(CASE WHEN CALENDAR_DAY &lt; DATE_TRUNC('year', TO_DATE('{reporting_date}'))
              THEN KPI_COSMOS__CONSOLIDATED_MARGIN_IIa ELSE 0 END) AS prev_mi2a
  FROM cos
  WHERE CORE_BUSINESS_INDICATOR IN ('C', 'P', 'T')
    AND CALENDAR_DAY BETWEEN DATEADD(year, -1, DATE_TRUNC('year', TO_DATE('{reporting_date}')))
                         AND TO_DATE('{reporting_date}')
),
kpis AS (
  SELECT 1 AS sort_no, 'Net Sales' AS kpi, 'EUR' AS unit, prev_sales AS prior_ytd, curr_sales AS current_ytd FROM totals
  UNION ALL SELECT 2, 'Order Volume', 'kg', prev_volume, curr_volume FROM totals
  UNION ALL SELECT 3, 'Marginal Income 1', 'EUR', prev_mi1, curr_mi1 FROM totals
  UNION ALL SELECT 4, 'MI1 in %', '%', 100*prev_mi1/NULLIF(prev_sales,0), 100*curr_mi1/NULLIF(curr_sales,0) FROM totals
  UNION ALL SELECT 5, 'Marginal Income 2a', 'EUR', prev_mi2a, curr_mi2a FROM totals
  UNION ALL SELECT 6, 'MI2a in %', '%', 100*prev_mi2a/NULLIF(prev_sales,0), 100*curr_mi2a/NULLIF(curr_sales,0) FROM totals
)
SELECT
  kpi AS "KPIs", unit AS "unit",
  ROUND(prior_ytd, 2) AS prior_ytd,
  ROUND(current_ytd, 2) AS current_ytd,
  ROUND(current_ytd - prior_ytd, 2) AS d_abs,
  ROUND(100 * (current_ytd - prior_ytd) / NULLIF(prior_ytd, 0), 1) AS d_pct
FROM kpis
ORDER BY sort_no;</t>
  </si>
  <si>
    <r>
      <t xml:space="preserve">Table: "KPIs" | "unit" | MM YYYY -1 | MM YYYY | </t>
    </r>
    <r>
      <rPr>
        <sz val="9"/>
        <color rgb="FF000000"/>
        <rFont val="Symbol"/>
        <family val="1"/>
        <charset val="2"/>
      </rPr>
      <t>D</t>
    </r>
    <r>
      <rPr>
        <sz val="9"/>
        <color rgb="FF000000"/>
        <rFont val="Arial"/>
        <family val="2"/>
      </rPr>
      <t xml:space="preserve"> abs | </t>
    </r>
    <r>
      <rPr>
        <sz val="9"/>
        <color rgb="FF000000"/>
        <rFont val="Symbol"/>
        <family val="1"/>
        <charset val="2"/>
      </rPr>
      <t>D</t>
    </r>
    <r>
      <rPr>
        <sz val="9"/>
        <color rgb="FF000000"/>
        <rFont val="Arial"/>
        <family val="2"/>
      </rPr>
      <t xml:space="preserve"> %
Narrative: 1 opening sentence. Then 3–4 bullets covering over time development and notable pattern</t>
    </r>
  </si>
  <si>
    <t>Summarize the total financial performance and show the development over time by comparing the current YTD with the previous year</t>
  </si>
  <si>
    <t>Margins: LTM</t>
  </si>
  <si>
    <t>Development of the Order Volumes, Marginal Income 1 per kg and Marginal Income 2a per kg over the last 12 months</t>
  </si>
  <si>
    <t>1) Select the 12 consecutive reporting months ending with the configured current reporting month. 2) Filter COSMOS to those months using the approved core-business filter. 3) Group by calendar month and sum Gross Sales Quantity (in+ex) as Order Volume, Consolidated Marginal Income I, and Consolidated Marginal Income IIa. 4) Calculate MI1 per kg = monthly MI1 / monthly Order Volume and MI2a per kg = monthly MI2a / monthly Order Volume; return blank where volume is zero. 5) Sort the 12 months chronologically. 6) Plot monthly Order Volume as bars and MI1 per kg and MI2a per kg as lines.</t>
  </si>
  <si>
    <t>SELECT
  DATE_TRUNC('month', CALENDAR_DAY) AS reporting_month,
  ROUND(SUM(KPI_COSMOS__GROSS_SALES_QTY__IN_EX), 0) AS order_volume_kg,
  ROUND(SUM(KPI_COSMOS__CONSOLIDATED_MARGIN_I)
        / NULLIF(SUM(KPI_COSMOS__GROSS_SALES_QTY__IN_EX), 0), 2) AS mi1_eur_per_kg,
  ROUND(SUM(KPI_COSMOS__CONSOLIDATED_MARGIN_IIa)
        / NULLIF(SUM(KPI_COSMOS__GROSS_SALES_QTY__IN_EX), 0), 2) AS mi2a_eur_per_kg
FROM cos
WHERE CORE_BUSINESS_INDICATOR IN ('C', 'P', 'T')
  AND CALENDAR_DAY BETWEEN DATEADD(month, -11, DATE_TRUNC('month', TO_DATE('{reporting_date}')))
                       AND TO_DATE('{reporting_date}')
GROUP BY reporting_month
ORDER BY reporting_month;</t>
  </si>
  <si>
    <t>Chart: bar chart for the order volumes, MI1 per kg and MI2a per kg as lines
Narrative: 1 opening sentence. Then 3–4 bullets covering over time development and notable pattern</t>
  </si>
  <si>
    <t>Show the last twelve month development of the order volume and the marginal incomes related to volume</t>
  </si>
  <si>
    <t>PP-02</t>
  </si>
  <si>
    <t>Cash Performance</t>
  </si>
  <si>
    <t>CM – Payment History Overview – Standard KPIs</t>
  </si>
  <si>
    <t>WAT, WDD and EDO over time, showing the payment history y</t>
  </si>
  <si>
    <t>1) Filter AR-PM to the requested trend period; 2) Group records by reporting month. 3) Sum Amount EUR for the monthly weight base. 4) Calculate amount-weighted WAT = SUM(WAT Receivables × Amount EUR) / SUM(Amount EUR) and amount-weighted WDD = SUM(WDD × Amount EUR) / SUM(Amount EUR). 5) Calculate amount-weighted EDO, use EDO = WAT + WDD. 6) Do not take a simple average of row-level KPI values. 7) Sort months chronologically and plot WAT, WDD, and EDO as three lines.</t>
  </si>
  <si>
    <t>SELECT
  DATE_TRUNC('month', POSTING_DATE) AS reporting_month,
  ROUND(SUM(KPI_AR_PM__WAT_RECEIVABLES * KPI_AR_PM__AMOUNT_EUR)
        / NULLIF(SUM(KPI_AR_PM__AMOUNT_EUR), 0), 1) AS wat_receivables_days,
  ROUND(SUM(KPI_AR_PM__WDD__WEIGHTED_DELAY_DAYS * KPI_AR_PM__AMOUNT_EUR)
        / NULLIF(SUM(KPI_AR_PM__AMOUNT_EUR), 0), 1) AS wdd_days,
  ROUND(SUM(KPI_AR_PM__EDO__EFFECTIVE_DAYS_OUTSTANDING * KPI_AR_PM__AMOUNT_EUR)
        / NULLIF(SUM(KPI_AR_PM__AMOUNT_EUR), 0), 1) AS edo_days
FROM pm
WHERE POSTING_DATE BETWEEN DATEADD(month, -11, DATE_TRUNC('month', TO_DATE('{reporting_date}')))
                       AND TO_DATE('{reporting_date}')
GROUP BY reporting_month
ORDER BY reporting_month;</t>
  </si>
  <si>
    <t>Chart: Line chart - WAT Receivables, WDD, EDO 
Narrative: 1 opening sentence. Then 3–4 bullets covering over time development and notable pattern</t>
  </si>
  <si>
    <t>How did the payment terms develop over time?</t>
  </si>
  <si>
    <t>CM – Overdue Receivables- Receivables/Overdue</t>
  </si>
  <si>
    <t>Analysis of Receivables: overdue vs. not yet due (incl. Relation of overdue receivables to total receivables)</t>
  </si>
  <si>
    <t xml:space="preserve">AR-KeyDate  </t>
  </si>
  <si>
    <t>1) Treat AR-KeyDate as a month-end snapshot table: for each reporting month, select the latest available key date in that month. 2) At each selected key date, calculate total Receivables = SUM(Amount in EUR). 3) Calculate Overdue Receivables = SUM(Amount in EUR) for open items whose Net Due Date is on or before the key date. 4) Calculate Not Yet Due = Total Receivables − Overdue Receivables. 5) Calculate Overdue % = Overdue Receivables / Total Receivables × 100; return blank where total receivables is zero. 6) Sort snapshots chronologically and plot Overdue and Not Yet Due as stacked bars with Overdue % as a line.</t>
  </si>
  <si>
    <t>WITH snapshots AS (
  SELECT
    DATE_TRUNC('month', POSTING_DATE) AS reporting_month,
    MAX(POSTING_DATE) AS snapshot_date
  FROM kd
  WHERE POSTING_DATE BETWEEN DATEADD(month, -11, DATE_TRUNC('month', TO_DATE('{reporting_date}')))
                         AND TO_DATE('{reporting_date}')
  GROUP BY reporting_month
),
monthly AS (
  SELECT
    s.reporting_month,
    s.snapshot_date,
    SUM(k.KPI_AR_KEYDATE__AMOUNT_IN_EUR) AS receivables_eur,
    SUM(CASE WHEN k.NET_DUE_DATE &lt;= s.snapshot_date
             THEN k.KPI_AR_KEYDATE__AMOUNT_IN_EUR ELSE 0 END) AS overdue_eur
  FROM snapshots s
  JOIN kd k ON k.POSTING_DATE = s.snapshot_date
  GROUP BY s.reporting_month, s.snapshot_date
)
SELECT
  reporting_month,
  snapshot_date,
  ROUND(overdue_eur, 2) AS overdue_eur,
  ROUND(receivables_eur - overdue_eur, 2) AS not_yet_due_eur,
  ROUND(100 * overdue_eur / NULLIF(receivables_eur, 0), 1) AS overdue_pct
FROM monthly
ORDER BY reporting_month;</t>
  </si>
  <si>
    <t>Chart: stacked bar chart for the overdue &amp; not yet due (receivables), overdue % as line
Narrative: 1 opening sentence. Then 3–4 bullets covering over time development and notable pattern</t>
  </si>
  <si>
    <t>Show me the portion of overdue / not yet due receivables over time</t>
  </si>
  <si>
    <t>CM – Overdue Receivables Worklist – Overdue (DL &gt;0)</t>
  </si>
  <si>
    <t>Receivables (incl. Overdue) per top 50 Customer (ranked by Overdue) for the current YTD and for the previous year</t>
  </si>
  <si>
    <t>1) Because AR-KeyDate is a snapshot, select one current snapshot at the latest available key date in the configured reporting month and one comparison snapshot for the equivalent month/date one year earlier; do not sum snapshots across YTD. 2) For each snapshot, group by Sold-to party and sum total Receivables (Amount in EUR). 3) Sum Overdue for items with delay days &gt; 0, also Net Due Date before the snapshot date. 4) Calculate current Overdue % = current Overdue / current Receivables × 100; return blank where receivables is zero. 5) Combine the two customer aggregates after aggregation using the customer key so customers present in only one year are retained; do not join raw snapshot rows. 6) Rank by current Overdue descending, keep the top 50, and return current Overdue, current Receivables, current Overdue %, prior-year Overdue, and prior-year Receivables.</t>
  </si>
  <si>
    <t>WITH dates AS (
  SELECT
    TO_DATE('{reporting_date}') AS current_date,
    DATEADD(year, -1, TO_DATE('{reporting_date}')) AS prior_date
),
snapshots AS (
  SELECT
    MAX(CASE WHEN POSTING_DATE BETWEEN DATE_TRUNC('month', d.current_date) AND d.current_date
             THEN POSTING_DATE END) AS current_snapshot,
    MAX(CASE WHEN POSTING_DATE BETWEEN DATE_TRUNC('month', d.prior_date) AND d.prior_date
             THEN POSTING_DATE END) AS prior_snapshot
  FROM kd CROSS JOIN dates d
),
customer_ar AS (
  SELECT
    k.SOLD_TO,
    COALESCE(k.SOLD_TO2, TO_VARCHAR(k.SOLD_TO), 'Unknown') AS customer,
    SUM(CASE WHEN k.POSTING_DATE = s.current_snapshot THEN k.KPI_AR_KEYDATE__AMOUNT_IN_EUR ELSE 0 END) AS current_receivables,
    SUM(CASE WHEN k.POSTING_DATE = s.current_snapshot AND k.NET_DUE_DATE &lt;= s.current_snapshot
             THEN k.KPI_AR_KEYDATE__AMOUNT_IN_EUR ELSE 0 END) AS current_overdue,
    SUM(CASE WHEN k.POSTING_DATE = s.prior_snapshot THEN k.KPI_AR_KEYDATE__AMOUNT_IN_EUR ELSE 0 END) AS prior_receivables,
    SUM(CASE WHEN k.POSTING_DATE = s.prior_snapshot AND k.NET_DUE_DATE &lt;= s.prior_snapshot
             THEN k.KPI_AR_KEYDATE__AMOUNT_IN_EUR ELSE 0 END) AS prior_overdue
  FROM kd k CROSS JOIN snapshots s
  WHERE k.POSTING_DATE IN (s.current_snapshot, s.prior_snapshot)
  GROUP BY k.SOLD_TO, k.SOLD_TO2
)
SELECT
  customer AS sold_to_party,
  ROUND(current_overdue, 2) AS overdue_current_eur,
  ROUND(current_receivables, 2) AS receivables_current_eur,
  ROUND(100 * current_overdue / NULLIF(current_receivables, 0), 1) AS overdue_pct_current,
  ROUND(prior_overdue, 2) AS overdue_prior_year_eur,
  ROUND(prior_receivables, 2) AS receivables_prior_year_eur
FROM customer_ar
QUALIFY ROW_NUMBER() OVER (ORDER BY current_overdue DESC, SOLD_TO) &lt;= 50
ORDER BY current_overdue DESC, SOLD_TO;</t>
  </si>
  <si>
    <t>Table: Sold to party | Overdue MM YYYY | Receivables MM YYYY | % Overdue of Receivables | Overdue MM YYYY-1 | Receivables MM YYYY-1
Narrative: 1 opening sentence. Then 3–4 bullets covering top performer and any notable pattern</t>
  </si>
  <si>
    <t>Show me the overdue receivables of our top 50 customers for this year and compared to the year before</t>
  </si>
  <si>
    <t>🟡 Yellow rows = example Performance Pulse definitions. ground_truth values must be verified against your actual data. output_format is the exact template the AI follows.</t>
  </si>
  <si>
    <t>DAILY NEWS LOGIC</t>
  </si>
  <si>
    <t>One row per Daily News item. Each news item is automatically generated daily by the AI using the SQL query, formatted according to the headline and body templates, and verified against the ground truth numbers.</t>
  </si>
  <si>
    <t>ℹ  Instructions: Daily News items are auto-generated narrative summaries — different from Performance Pulse (which the user triggers on demand). headline_template uses placeholders like [QTD], [+$Y], [Country A]. ground_truth = verified numbers from your data that the AI must match. chart_spec = the mini chart shown alongside the news item (type, axes, values). status: PASS = verified correct, FAIL = needs fix, PENDING = not yet tested.</t>
  </si>
  <si>
    <t>news_id</t>
  </si>
  <si>
    <t>news_item_title</t>
  </si>
  <si>
    <t>why_it_adds_value</t>
  </si>
  <si>
    <t>headline_template</t>
  </si>
  <si>
    <t>body_format</t>
  </si>
  <si>
    <t>chart_spec</t>
  </si>
  <si>
    <t>status</t>
  </si>
  <si>
    <t>DN-01</t>
  </si>
  <si>
    <t>Net Sales Surprises vs 7-Day Average</t>
  </si>
  <si>
    <t>The regions (ship-to) whose daily Net Sales deviated most from their own trailing 7-day average yesterday, split into biggest positive and biggest negative surprises, ranked by € impact.</t>
  </si>
  <si>
    <t>Surfaces fresh day-to-day momentum shifts and regional anomalies that a monthly or quarterly view would smooth over and hide.</t>
  </si>
  <si>
    <t>[Region A] +$[X] vs 7-day avg; [Region B] -$[Y] vs 7-day avg.</t>
  </si>
  <si>
    <t>Sentence 1 (today vs 7-day avg): "Today's Net Sales per region: [Region A] posted upside with +$[X] vs its 7-day average (+[Pct_A]%), while [Region B] came in -$[Y] below average (-[Pct_B]%)."
Sentence 2 (summary): "Net daily surprise across all regions: +$[Net] ([N_above] regions above average, [N_below] below)."</t>
  </si>
  <si>
    <t xml:space="preserve">1) Today's Net Sales per Region ship-to: SUM(net_sales) FROM copa WHERE posting_date = {as_of_date}, GROUP BY region_ship_to.
2) Trailing 7-day average per region: AVG of the 7 daily SUM(net_sales) totals for the 7 calendar days immediately before {as_of_date} (excludes {as_of_date} itself).
3) Filter to core business only: core_business_indicator IN ('C','P','T') — client-confirmed values for COPA.
4) Deviation € = today's value − 7-day average. Deviation % = Deviation € / 7-day average × 100.
5) Rank regions by deviation € descending; report top 2 positive and top 2 negative.
</t>
  </si>
  <si>
    <t>TBD — cannot be derived from the sample data provided. Sample KPI values are randomly obfuscated per row.</t>
  </si>
  <si>
    <r>
      <rPr>
        <sz val="9"/>
        <color rgb="FF000000"/>
        <rFont val="Arial"/>
        <family val="2"/>
      </rPr>
      <t xml:space="preserve">WITH daily_by_region AS (
  SELECT c.region_ship_to, c.posting_date, SUM(c.net_sales) AS net_sales
  FROM copa c
  WHERE c.core_business_indicator IN ('C','P','T')
    AND c.posting_date BETWEEN DATEADD(day, -8, </t>
    </r>
    <r>
      <rPr>
        <sz val="9"/>
        <color rgb="FFFF0000"/>
        <rFont val="Arial"/>
        <family val="2"/>
      </rPr>
      <t>{as_of_date}</t>
    </r>
    <r>
      <rPr>
        <sz val="9"/>
        <color rgb="FF000000"/>
        <rFont val="Arial"/>
        <family val="2"/>
      </rPr>
      <t>) AND {as_of_date}
  GROUP BY c.region_ship_to, c.posting_date
),
today AS (
  SELECT region_ship_to, net_sales AS today_sales
  FROM daily_by_region WHERE posting_date = {as_of_date}
),
trailing_avg AS (
  SELECT region_ship_to, AVG(net_sales) AS avg_7day
  FROM daily_by_region
  WHERE posting_date &lt; {as_of_date}
  GROUP BY region_ship_to
)
SELECT t.region_ship_to,
       ROUND(t.today_sales, 0) AS today_sales,
       ROUND(a.avg_7day, 0) AS avg_7day,
       ROUND(t.today_sales - a.avg_7day, 0) AS deviation_eur,
       ROUND(100.0 * (t.today_sales - a.avg_7day) / NULLIF(a.avg_7day, 0), 1) AS deviation_pct
FROM today t JOIN trailing_avg a ON t.region_ship_to = a.region_ship_to
ORDER BY deviation_eur DESC;</t>
    </r>
  </si>
  <si>
    <r>
      <rPr>
        <strike/>
        <sz val="9"/>
        <color rgb="FF000000"/>
        <rFont val="Arial"/>
      </rPr>
      <t xml:space="preserve">Two-bar chart per highlighted region: today's Net Sales vs 7-day average. X-axis: region name. Y-axis: Net Sales (€). Green bar = positive deviation, red = negative. 
</t>
    </r>
    <r>
      <rPr>
        <sz val="9"/>
        <color rgb="FF000000"/>
        <rFont val="Arial"/>
      </rPr>
      <t xml:space="preserve">One bar per region = the deviation (today - 7-day average , in Eur), extending up from zero baseline for positive surprises and down for negative ones.
</t>
    </r>
  </si>
  <si>
    <t>PENDING</t>
  </si>
  <si>
    <t>sql filter is based on {as_of_date}. This needs to be filled in as per real data</t>
  </si>
  <si>
    <t>DN-02</t>
  </si>
  <si>
    <t>Product Mix Shifting by Customer</t>
  </si>
  <si>
    <t>The 5 customers whose share of revenue from low-margin products has moved most vs. the same quarter last year (QTD).</t>
  </si>
  <si>
    <t>Flags customers whose purchasing mix is quietly eroding — or improving — profitability, well before it would show up in a quarterly margin review.</t>
  </si>
  <si>
    <t>[Customer A]'s low-margin product share [+/-][X]pp YoY (QTD); [Customer B] [+/-][Y]pp.</t>
  </si>
  <si>
    <t>Sentence 1: "Over this quarter to date, [Customer A]'s share of revenue from low-margin products moved to [X]% from [X_PY]% a year ago ([+/-][Delta]pp)."
Sentence 2 (summary): "Top 5 customers by product mix shift: [list]."</t>
  </si>
  <si>
    <t>1) Filter to core business only: core_business_indicator IN ('C','P','T') — client-confirmed values.
2) For each Sold-to, flag each Prod.Hier.4 as low-margin if its CMI I margin % &lt; 30%.
3) QTD this year: low-margin revenue share = SUM(Net Sales on low-margin products) / SUM(Net Sales, all products), per Sold-to.
4) Same computation for the same QTD window, prior year.
5) Deviation (pp) = this-year share − prior-year share.
6) Rank Sold-to by |deviation| descending; report top 5.</t>
  </si>
  <si>
    <t xml:space="preserve">  </t>
  </si>
  <si>
    <t>WITH margin_flagged AS (
  SELECT cm.sold_to, cm.prod_hier_4, cm.calendar_day, cm.net_sales,
         CASE WHEN (cm.consolidated_marginal_income_i / NULLIF(cm.net_sales,0)) &lt; 0.30
              THEN 1 ELSE 0 END AS is_low_margin
  FROM cosmos cm
  WHERE cm.core_business_indicator IN ('C','P','T')
    AND cm.calendar_day BETWEEN {qtd_start} AND {as_of_date}
),
curr AS (
  SELECT sold_to,
         SUM(CASE WHEN is_low_margin=1 THEN net_sales ELSE 0 END) AS low_margin_sales,
         SUM(net_sales) AS total_sales
  FROM margin_flagged GROUP BY sold_to
),
prior AS (
  SELECT cm.sold_to,
         SUM(CASE WHEN (cm.consolidated_marginal_income_i / NULLIF(cm.net_sales,0)) &lt; 0.30
                  THEN cm.net_sales ELSE 0 END) AS low_margin_sales,
         SUM(cm.net_sales) AS total_sales
  FROM cosmos cm
  WHERE cm.core_business_indicator IN ('C','P','T')
    AND cm.calendar_day BETWEEN DATEADD(year,-1,{qtd_start}) AND DATEADD(year,-1,{as_of_date})
  GROUP BY cm.sold_to
)
SELECT c.sold_to,
       ROUND(100.0*c.low_margin_sales/NULLIF(c.total_sales,0),1) AS curr_share_pct,
       ROUND(100.0*p.low_margin_sales/NULLIF(p.total_sales,0),1) AS prior_share_pct,
       ROUND(100.0*c.low_margin_sales/NULLIF(c.total_sales,0) - 100.0*p.low_margin_sales/NULLIF(p.total_sales,0),1) AS deviation_pp
FROM curr c JOIN prior p ON c.sold_to = p.sold_to
ORDER BY ABS(deviation_pp) DESC
LIMIT 5;</t>
  </si>
  <si>
    <r>
      <rPr>
        <strike/>
        <sz val="9"/>
        <color rgb="FF000000"/>
        <rFont val="Arial"/>
      </rPr>
      <t xml:space="preserve">Small multiples: one small bar pair per customer — low-margin revenue share this QTD vs same QTD last year. X-axis: customer name. Y-axis: % of revenue.
</t>
    </r>
    <r>
      <rPr>
        <sz val="9"/>
        <color rgb="FF000000"/>
        <rFont val="Arial"/>
      </rPr>
      <t>One bar chart per customer. Bar = the percentage point change in low-amrgin share this QTD vs same QTD last year.</t>
    </r>
  </si>
  <si>
    <t xml:space="preserve">PENDING </t>
  </si>
  <si>
    <t>Low margin threshold needs to be defined.
qtr_start and as_of_date needs to be set.</t>
  </si>
  <si>
    <t>DN-03</t>
  </si>
  <si>
    <t>Order Volume Pacing vs Previous Year</t>
  </si>
  <si>
    <t>The business entities (SBE) whose QTD ordered volume has deviated most, in %, from the same QTD period last year; top 2 positive and top 1 negative contributing SBEs.</t>
  </si>
  <si>
    <t>Gives an early, sub-quarterly read on which business lines are outpacing or lagging their own prior-year trajectory.</t>
  </si>
  <si>
    <t>[BE A] volume [+/-][X]% QTD vs PY; [BE B] [+/-][Y]%.</t>
  </si>
  <si>
    <t>Sentence 1: "QTD order volume: [BE A] is running [+/-][X]% vs prior year ([X_kg]kg vs [PY_kg]kg)."
Sentence 2 (summary): "Top movers by volume: [list]."</t>
  </si>
  <si>
    <t xml:space="preserve">1) Filter to core business only: core_business_indicator IN ('C','P','T') — client-confirmed values, matches your example syntax.
2) QTD delivered volume by SBE: SUM(delivery_quantity_kg) FROM sales WHERE core_business_indicator IN ('C','P','T') AND act_gi_day BETWEEN {qtd_start} AND {as_of_date}, GROUP BY sbe.
3) Same window, prior year: same computation shifted back exactly one year, same core-business filter applied.
4) Deviation kg = actual − prior year; Deviation % = Deviation kg / prior year × 100.
5) Rank SBE by |deviation %| descending.
</t>
  </si>
  <si>
    <t>TBD — cannot be derived from the sample data provided. Sample KPI values are randomly obfuscated per row (per the merge log).</t>
  </si>
  <si>
    <t>WITH curr AS (
  SELECT s.sbe, SUM(s.delivery_quantity_kg) AS qtd_volume
  FROM sales s
  WHERE s.core_business_indicator IN ('C','P','T')
    AND s.act_gi_day BETWEEN {qtd_start} AND {as_of_date}
  GROUP BY s.sbe
),
prior AS (
  SELECT s.sbe, SUM(s.delivery_quantity_kg) AS qtd_volume_py
  FROM sales s
  WHERE s.core_business_indicator IN ('C','P','T')
    AND s.act_gi_day BETWEEN DATEADD(year,-1,{qtd_start}) AND DATEADD(year,-1,{as_of_date})
  GROUP BY s.sbe
)
SELECT c.sbe,
       ROUND(c.qtd_volume,0) AS qtd_volume,
       ROUND(p.qtd_volume_py,0) AS qtd_volume_py,
       ROUND(c.qtd_volume - p.qtd_volume_py,0) AS deviation_kg,
       ROUND(100.0*(c.qtd_volume - p.qtd_volume_py)/NULLIF(p.qtd_volume_py,0),1) AS deviation_pct
FROM curr c JOIN prior p ON c.sbe = p.sbe
ORDER BY ABS(deviation_pct) DESC;</t>
  </si>
  <si>
    <t>Two-bar chart per SBE: current QTD volume vs prior-year QTD volume. X-axis: SBE name. Y-axis: Volume (kg).</t>
  </si>
  <si>
    <t>🟡 Yellow rows = example Daily News items. ground_truth must be verified against your data. status: PASS = tested and correct | FAIL = SQL or logic needs fixing | PENDING = not yet tested.</t>
  </si>
  <si>
    <t>FISCAL &amp; ROUNDING RULES</t>
  </si>
  <si>
    <t>Client-specific configuration the AI uses for time period logic, number formatting, and rounding. Must be completed before testing — incorrect fiscal config causes wrong period filters.</t>
  </si>
  <si>
    <t>ℹ  Instructions: Fill in every row with your client's actual values. The AI reads this sheet to resolve 'current month', 'YTD', 'fiscal quarter' and format all numbers in responses consistently.</t>
  </si>
  <si>
    <t>Configuration Item</t>
  </si>
  <si>
    <t>Value</t>
  </si>
  <si>
    <t>FISCAL CALENDAR</t>
  </si>
  <si>
    <t>January</t>
  </si>
  <si>
    <t xml:space="preserve">  ← Enter the calendar month the fiscal year begins (e.g. January, April, October)</t>
  </si>
  <si>
    <t>Fiscal Year Label Convention</t>
  </si>
  <si>
    <t>YYYY (e.g. 2026)</t>
  </si>
  <si>
    <t xml:space="preserve">  ← How the fiscal year is labelled — same as calendar year, or offset? (e.g. FY2024, 2024, FY24)</t>
  </si>
  <si>
    <t>Fiscal Quarter Q1 Months</t>
  </si>
  <si>
    <t>January, February, March</t>
  </si>
  <si>
    <t xml:space="preserve">  ← List the 3 calendar months in fiscal Q1</t>
  </si>
  <si>
    <t>Fiscal Quarter Q2 Months</t>
  </si>
  <si>
    <t>April, May, June</t>
  </si>
  <si>
    <t xml:space="preserve">  ← List the 3 calendar months in fiscal Q2</t>
  </si>
  <si>
    <t>Fiscal Quarter Q3 Months</t>
  </si>
  <si>
    <t>July, August, September</t>
  </si>
  <si>
    <t xml:space="preserve">  ← List the 3 calendar months in fiscal Q3</t>
  </si>
  <si>
    <t>Fiscal Quarter Q4 Months</t>
  </si>
  <si>
    <t>October, November, December</t>
  </si>
  <si>
    <t xml:space="preserve">  ← List the 3 calendar months in fiscal Q4</t>
  </si>
  <si>
    <t>Number of Fiscal Periods per Year</t>
  </si>
  <si>
    <t>12 (monthly)</t>
  </si>
  <si>
    <t xml:space="preserve">  ← 12 for monthly, 13 for 4-4-5 or 13-period calendars</t>
  </si>
  <si>
    <t>Current Fiscal Year</t>
  </si>
  <si>
    <t xml:space="preserve">  ← The fiscal year to use as default when user does not specify a year</t>
  </si>
  <si>
    <t>Current Fiscal Month (number)</t>
  </si>
  <si>
    <t xml:space="preserve">  ← The fiscal month to use as default for MTD queries (1=first month of fiscal year)</t>
  </si>
  <si>
    <t>CURRENCY &amp; REPORTING</t>
  </si>
  <si>
    <t>Primary Reporting Currency</t>
  </si>
  <si>
    <t xml:space="preserve">  ← The default currency for all AI responses and metric calculations</t>
  </si>
  <si>
    <t>Currency Symbol</t>
  </si>
  <si>
    <t>€</t>
  </si>
  <si>
    <t xml:space="preserve">  ← Symbol prepended to monetary values in responses</t>
  </si>
  <si>
    <t>Currency Display Scale</t>
  </si>
  <si>
    <t>k€, m€, bn€</t>
  </si>
  <si>
    <t xml:space="preserve">  ← How amounts are displayed: Thousands ($K), Millions ($M), or Billions ($B)</t>
  </si>
  <si>
    <t>Multi-Currency Support</t>
  </si>
  <si>
    <t>no</t>
  </si>
  <si>
    <t xml:space="preserve">  ← List any secondary currencies present in the data</t>
  </si>
  <si>
    <t>NUMBER FORMATTING &amp; ROUNDING</t>
  </si>
  <si>
    <t>Revenue Rounding</t>
  </si>
  <si>
    <t xml:space="preserve">Overall 3 digits e.g. €412m or €41.2m --&gt; 3 digits </t>
  </si>
  <si>
    <t xml:space="preserve">  ← How revenue figures are rounded and displayed</t>
  </si>
  <si>
    <t>Percentage Rounding</t>
  </si>
  <si>
    <t>Overall 3 digits e.g. 42.3%  --&gt; 3 digits</t>
  </si>
  <si>
    <t xml:space="preserve">  ← How percentages are displayed</t>
  </si>
  <si>
    <t>DSO / Days Rounding</t>
  </si>
  <si>
    <t>Overall 3 digits e.g. 48.1 days  --&gt; 3 digits</t>
  </si>
  <si>
    <t xml:space="preserve">  ← How day-based metrics are rounded</t>
  </si>
  <si>
    <t>Deal Value Rounding</t>
  </si>
  <si>
    <t>-</t>
  </si>
  <si>
    <t xml:space="preserve">  ← How individual deal values are displayed</t>
  </si>
  <si>
    <t>Volume / Quantity Rounding</t>
  </si>
  <si>
    <t>Overall 3 digits e.g. 1.12kg  --&gt; 3 digits</t>
  </si>
  <si>
    <t xml:space="preserve">  ← How count/volume metrics are rounded</t>
  </si>
  <si>
    <t>Variance Display Convention</t>
  </si>
  <si>
    <t>see KPI cards</t>
  </si>
  <si>
    <t xml:space="preserve">  ← E.g. revenue variance: +$3.4M = favorable. DSO variance: +5 days = unfavorable (label accordingly).</t>
  </si>
  <si>
    <t>SPECIAL BUSINESS RULES</t>
  </si>
  <si>
    <t>Budget Version Used</t>
  </si>
  <si>
    <t>no budget</t>
  </si>
  <si>
    <t xml:space="preserve">  ← Which budget version to use: Original Budget, Revised Budget, Latest Forecast, etc.</t>
  </si>
  <si>
    <t>Forecast / Flash Version</t>
  </si>
  <si>
    <t>no forecast</t>
  </si>
  <si>
    <t xml:space="preserve">  ← Which forecast version is the current flash/forecast baseline</t>
  </si>
  <si>
    <t>'Favorable' Revenue Direction</t>
  </si>
  <si>
    <t>current month higher than previous period</t>
  </si>
  <si>
    <t xml:space="preserve">  ← Define what favorable means for primary revenue metrics</t>
  </si>
  <si>
    <t>DSO Target</t>
  </si>
  <si>
    <t>no DSO</t>
  </si>
  <si>
    <t xml:space="preserve">  ← Target DSO for badge coloring and footnote display</t>
  </si>
  <si>
    <t>Win Rate Target</t>
  </si>
  <si>
    <t>no win rate</t>
  </si>
  <si>
    <t xml:space="preserve">  ← Target win rate for badge coloring and footnote display</t>
  </si>
  <si>
    <t>Overdue AR Target</t>
  </si>
  <si>
    <t>no target</t>
  </si>
  <si>
    <t xml:space="preserve">  ← Threshold above which overdue % is flagged as elevated</t>
  </si>
  <si>
    <t>REQUIREMENTS &amp; NOTES</t>
  </si>
  <si>
    <t>Free-form section for master prompt context, open questions, known data issues, and client-specific instructions that don't fit elsewhere. The AI may reference these when generating responses.</t>
  </si>
  <si>
    <t>ℹ  Instructions: Use this sheet to capture anything not covered by the structured sheets. Sections below are suggested — add or remove rows freely. Master Prompt Context is particularly important: it tells the AI who it is, what it knows, and how to behave.</t>
  </si>
  <si>
    <t>Category</t>
  </si>
  <si>
    <t>Content / Notes</t>
  </si>
  <si>
    <t>MASTER PROMPT CONTEXT (System Instructions for AI)</t>
  </si>
  <si>
    <t>Role &amp; Identity</t>
  </si>
  <si>
    <t>You are a digital FP&amp;A co-worker supporting financial and sales performance analysis. Your role is to structure data, quantify drivers, and highlight patterns to assist human decision-making. You do not make business decisions — you surface the data to support them - from a financial and business driven / key account management perspective.</t>
  </si>
  <si>
    <t>Data Scope</t>
  </si>
  <si>
    <t>You have access to sales data, volume data, AR, working capital data like WAT and OTIF for FY2025 and FY2026 (HY1). Data covers four regions: [CLIENT TO FILL: e.g. North America, Europe/Middle East/Africa, Asia Pacific, Latin America]. The reporting currency is EUR. All monetary amounts are in EUR unless otherwise specified.</t>
  </si>
  <si>
    <t>Tone &amp; Format</t>
  </si>
  <si>
    <t>Responses should be concise, numeric, and executive-ready. Always lead with the headline number. Use bullet points for drivers. Flag if data is unavailable rather than guessing. Positive revenue variance = Favorable. Negative = Unfavorable. Label explicitly.</t>
  </si>
  <si>
    <t>Hard Constraints</t>
  </si>
  <si>
    <t>1. Never invent numbers — if data is missing say so.
2. Always filter is_active = TRUE unless the user asks for historical records.
3. For period-over-period questions always show both periods and the delta.
4. entity_segment = industry vertical. entity_category = business-size tier. Do not confuse them.
5. If question is unclear or metric /dimension selection is not clear, say so or provide proposals for multiple dimensions / metrics</t>
  </si>
  <si>
    <t>KNOWN DATA ISSUES &amp; LIMITATIONS</t>
  </si>
  <si>
    <t>Issue: Budget Data</t>
  </si>
  <si>
    <t>Issue: DSO Calculation</t>
  </si>
  <si>
    <t>[CLIENT TO COMPLETE]</t>
  </si>
  <si>
    <t>Add any known data quality issues, NULL columns, missing periods, or fields that behave unexpectedly in this client's data.</t>
  </si>
  <si>
    <t>OPEN QUESTIONS (To Be Resolved with Client)</t>
  </si>
  <si>
    <t>Q1: Fiscal Calendar</t>
  </si>
  <si>
    <t>Confirm: Does the client's fiscal year align with the calendar year, or does it start in a different month? This affects all YTD, QTD and fiscal_year filters in every query.
Aligned with calendar year</t>
  </si>
  <si>
    <t>Q2: Budget Version</t>
  </si>
  <si>
    <t>Which budget version should be used as the default baseline? Options: Original Annual Budget, Latest Revised Budget, Rolling Forecast. Confirm column name in the database if different from budget_net_revenue_reporting_amount.
No budget</t>
  </si>
  <si>
    <t>Q3: Multi-Currency</t>
  </si>
  <si>
    <t>Should responses always show USD (reporting currency), or should some metrics show local currency? If local currency is needed, which tables and columns contain the local amounts?
EUR only</t>
  </si>
  <si>
    <t>Q4: Data Refresh Frequency</t>
  </si>
  <si>
    <t>How often is the database refreshed? Daily, weekly, monthly? This affects how 'current' / 'real-time' questions should be answered.
"Fake" data refresh should be enabled, ideally twice</t>
  </si>
  <si>
    <t>ROUNDING &amp; SIGN CONVENTIONS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</si>
</sst>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13"/>
      <color rgb="FFFFFFFF"/>
      <name val="Arial"/>
      <family val="2"/>
    </font>
    <font>
      <i/>
      <sz val="9"/>
      <color rgb="FFFFFFFF"/>
      <name val="Arial"/>
      <family val="2"/>
    </font>
    <font>
      <i/>
      <sz val="9"/>
      <color rgb="FFC55A11"/>
      <name val="Arial"/>
      <family val="2"/>
    </font>
    <font>
      <b/>
      <sz val="10"/>
      <color rgb="FFFFFFFF"/>
      <name val="Arial"/>
      <family val="2"/>
    </font>
    <font>
      <sz val="9"/>
      <color rgb="FF000000"/>
      <name val="Arial"/>
      <family val="2"/>
    </font>
    <font>
      <b/>
      <sz val="9"/>
      <color rgb="FF1F3864"/>
      <name val="Arial"/>
      <family val="2"/>
    </font>
    <font>
      <b/>
      <sz val="9"/>
      <color rgb="FF000000"/>
      <name val="Arial"/>
      <family val="2"/>
    </font>
    <font>
      <i/>
      <sz val="9"/>
      <color rgb="FF595959"/>
      <name val="Arial"/>
      <family val="2"/>
    </font>
    <font>
      <sz val="9"/>
      <name val="Arial"/>
      <family val="2"/>
    </font>
    <font>
      <b/>
      <sz val="14"/>
      <color rgb="FFFFFFFF"/>
      <name val="Arial"/>
      <family val="2"/>
    </font>
    <font>
      <b/>
      <sz val="9"/>
      <color rgb="FFFFFFFF"/>
      <name val="Arial"/>
      <family val="2"/>
    </font>
    <font>
      <b/>
      <sz val="9"/>
      <name val="Arial"/>
      <family val="2"/>
    </font>
    <font>
      <b/>
      <sz val="9"/>
      <color rgb="FF595959"/>
      <name val="Arial"/>
      <family val="2"/>
    </font>
    <font>
      <i/>
      <sz val="9"/>
      <color theme="1"/>
      <name val="Arial"/>
      <family val="2"/>
    </font>
    <font>
      <sz val="9"/>
      <color rgb="FFFF0000"/>
      <name val="Arial"/>
      <family val="2"/>
    </font>
    <font>
      <sz val="11"/>
      <color rgb="FF000000"/>
      <name val="Arial"/>
      <family val="2"/>
    </font>
    <font>
      <sz val="10"/>
      <color theme="1"/>
      <name val="Arial"/>
      <family val="2"/>
    </font>
    <font>
      <sz val="9"/>
      <color rgb="FF000000"/>
      <name val="Arial"/>
    </font>
    <font>
      <sz val="11"/>
      <name val="Calibri"/>
      <family val="2"/>
      <scheme val="minor"/>
    </font>
    <font>
      <b/>
      <sz val="9"/>
      <color rgb="FF000000"/>
      <name val="Arial"/>
    </font>
    <font>
      <sz val="9"/>
      <color theme="1"/>
      <name val="Arial"/>
      <family val="2"/>
    </font>
    <font>
      <sz val="9"/>
      <color rgb="FF000000"/>
      <name val="Symbol"/>
      <family val="1"/>
      <charset val="2"/>
    </font>
    <font>
      <sz val="9"/>
      <color rgb="FFFF0000"/>
      <name val="Arial"/>
    </font>
    <font>
      <strike/>
      <sz val="9"/>
      <color rgb="FFFF0000"/>
      <name val="Arial"/>
      <family val="2"/>
    </font>
    <font>
      <strike/>
      <sz val="9"/>
      <color rgb="FF000000"/>
      <name val="Arial"/>
    </font>
    <font>
      <strike/>
      <sz val="9"/>
      <color rgb="FF000000"/>
      <name val="Arial"/>
      <family val="2"/>
    </font>
    <font>
      <strike/>
      <sz val="11"/>
      <color theme="1"/>
      <name val="Calibri"/>
      <family val="2"/>
      <scheme val="minor"/>
    </font>
  </fonts>
  <fills count="18">
    <fill>
      <patternFill patternType="none"/>
    </fill>
    <fill>
      <patternFill patternType="gray125"/>
    </fill>
    <fill>
      <patternFill patternType="solid">
        <fgColor rgb="FF1F3864"/>
      </patternFill>
    </fill>
    <fill>
      <patternFill patternType="solid">
        <fgColor rgb="FF2E75B6"/>
      </patternFill>
    </fill>
    <fill>
      <patternFill patternType="solid">
        <fgColor rgb="FFFFF2CC"/>
      </patternFill>
    </fill>
    <fill>
      <patternFill patternType="solid">
        <fgColor rgb="FFE2EFDA"/>
      </patternFill>
    </fill>
    <fill>
      <patternFill patternType="solid">
        <fgColor rgb="FFD9E2F3"/>
      </patternFill>
    </fill>
    <fill>
      <patternFill patternType="solid">
        <fgColor rgb="FFFFFFFF"/>
      </patternFill>
    </fill>
    <fill>
      <patternFill patternType="solid">
        <fgColor rgb="FFF2F2F2"/>
      </patternFill>
    </fill>
    <fill>
      <patternFill patternType="solid">
        <fgColor rgb="FFFCE4D6"/>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2CC"/>
        <bgColor indexed="64"/>
      </patternFill>
    </fill>
  </fills>
  <borders count="1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3864"/>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style="thin">
        <color indexed="64"/>
      </right>
      <top style="thin">
        <color indexed="64"/>
      </top>
      <bottom/>
      <diagonal/>
    </border>
    <border>
      <left style="thin">
        <color rgb="FFBFBFBF"/>
      </left>
      <right/>
      <top style="thin">
        <color rgb="FFBFBFBF"/>
      </top>
      <bottom/>
      <diagonal/>
    </border>
    <border>
      <left/>
      <right/>
      <top style="thin">
        <color rgb="FFBFBFBF"/>
      </top>
      <bottom/>
      <diagonal/>
    </border>
    <border>
      <left style="thin">
        <color rgb="FFBFBFBF"/>
      </left>
      <right style="thin">
        <color rgb="FFBFBFBF"/>
      </right>
      <top style="thin">
        <color rgb="FFBFBFBF"/>
      </top>
      <bottom/>
      <diagonal/>
    </border>
  </borders>
  <cellStyleXfs count="2">
    <xf numFmtId="0" fontId="0" fillId="0" borderId="0"/>
    <xf numFmtId="0" fontId="17" fillId="0" borderId="0"/>
  </cellStyleXfs>
  <cellXfs count="75">
    <xf numFmtId="0" fontId="0" fillId="0" borderId="0" xfId="0"/>
    <xf numFmtId="0" fontId="4" fillId="2"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0" fillId="8" borderId="1" xfId="0" applyFill="1" applyBorder="1"/>
    <xf numFmtId="0" fontId="6" fillId="6" borderId="1" xfId="0" applyFont="1" applyFill="1" applyBorder="1" applyAlignment="1">
      <alignment horizontal="left" vertical="center" wrapText="1"/>
    </xf>
    <xf numFmtId="0" fontId="11" fillId="2"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3" fillId="4" borderId="0" xfId="0" applyFont="1" applyFill="1" applyAlignment="1">
      <alignment horizontal="left" vertical="top" wrapText="1"/>
    </xf>
    <xf numFmtId="0" fontId="0" fillId="10" borderId="0" xfId="0" applyFill="1"/>
    <xf numFmtId="0" fontId="0" fillId="11" borderId="0" xfId="0" applyFill="1"/>
    <xf numFmtId="0" fontId="0" fillId="12" borderId="0" xfId="0" applyFill="1"/>
    <xf numFmtId="0" fontId="14" fillId="10" borderId="0" xfId="0" applyFont="1" applyFill="1" applyAlignment="1">
      <alignment horizontal="left" vertical="top" wrapText="1"/>
    </xf>
    <xf numFmtId="0" fontId="0" fillId="13" borderId="0" xfId="0" applyFill="1"/>
    <xf numFmtId="0" fontId="0" fillId="14" borderId="0" xfId="0" applyFill="1"/>
    <xf numFmtId="0" fontId="0" fillId="15" borderId="0" xfId="0" applyFill="1"/>
    <xf numFmtId="0" fontId="0" fillId="16" borderId="0" xfId="0" applyFill="1"/>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5" fillId="4" borderId="9" xfId="0" applyFont="1" applyFill="1" applyBorder="1" applyAlignment="1">
      <alignment horizontal="left" vertical="top" wrapText="1"/>
    </xf>
    <xf numFmtId="0" fontId="4" fillId="2" borderId="10" xfId="0" applyFont="1" applyFill="1" applyBorder="1" applyAlignment="1">
      <alignment horizontal="center" vertical="center" wrapText="1"/>
    </xf>
    <xf numFmtId="0" fontId="5" fillId="4" borderId="11" xfId="0" applyFont="1" applyFill="1" applyBorder="1" applyAlignment="1">
      <alignment horizontal="left" vertical="top" wrapText="1"/>
    </xf>
    <xf numFmtId="0" fontId="5" fillId="17" borderId="3" xfId="0" applyFont="1" applyFill="1" applyBorder="1" applyAlignment="1">
      <alignment horizontal="left" vertical="top" wrapText="1"/>
    </xf>
    <xf numFmtId="0" fontId="5" fillId="17" borderId="1" xfId="0" applyFont="1" applyFill="1" applyBorder="1" applyAlignment="1">
      <alignment horizontal="left" vertical="top" wrapText="1"/>
    </xf>
    <xf numFmtId="0" fontId="5" fillId="17" borderId="5" xfId="0" applyFont="1" applyFill="1" applyBorder="1" applyAlignment="1">
      <alignment horizontal="left" vertical="top" wrapText="1"/>
    </xf>
    <xf numFmtId="0" fontId="18" fillId="4" borderId="1" xfId="0" applyFont="1" applyFill="1" applyBorder="1" applyAlignment="1">
      <alignment horizontal="left" vertical="top" wrapText="1"/>
    </xf>
    <xf numFmtId="0" fontId="18" fillId="4" borderId="9" xfId="0" applyFont="1" applyFill="1" applyBorder="1" applyAlignment="1">
      <alignment horizontal="left" vertical="top" wrapText="1"/>
    </xf>
    <xf numFmtId="0" fontId="21" fillId="4" borderId="1" xfId="0" applyFont="1" applyFill="1" applyBorder="1" applyAlignment="1">
      <alignment horizontal="left" vertical="top" wrapText="1"/>
    </xf>
    <xf numFmtId="0" fontId="5" fillId="17" borderId="14" xfId="0" applyFont="1" applyFill="1" applyBorder="1" applyAlignment="1">
      <alignment horizontal="left" vertical="top" wrapText="1"/>
    </xf>
    <xf numFmtId="0" fontId="5" fillId="17" borderId="12" xfId="0" applyFont="1" applyFill="1" applyBorder="1" applyAlignment="1">
      <alignment horizontal="left" vertical="top" wrapText="1"/>
    </xf>
    <xf numFmtId="0" fontId="5" fillId="17" borderId="13" xfId="0" applyFont="1" applyFill="1" applyBorder="1" applyAlignment="1">
      <alignment horizontal="left" vertical="top" wrapText="1"/>
    </xf>
    <xf numFmtId="0" fontId="18" fillId="17" borderId="3" xfId="0" applyFont="1" applyFill="1" applyBorder="1" applyAlignment="1">
      <alignment horizontal="left" vertical="top" wrapText="1"/>
    </xf>
    <xf numFmtId="0" fontId="18" fillId="17" borderId="1" xfId="0" applyFont="1" applyFill="1" applyBorder="1" applyAlignment="1">
      <alignment horizontal="left" vertical="top" wrapText="1"/>
    </xf>
    <xf numFmtId="0" fontId="18" fillId="4" borderId="1" xfId="0" applyFont="1" applyFill="1" applyBorder="1" applyAlignment="1">
      <alignment horizontal="left" vertical="center" wrapText="1"/>
    </xf>
    <xf numFmtId="0" fontId="18" fillId="4" borderId="1" xfId="0" applyFont="1" applyFill="1" applyBorder="1" applyAlignment="1">
      <alignment horizontal="center" vertical="center" wrapText="1"/>
    </xf>
    <xf numFmtId="0" fontId="0" fillId="0" borderId="0" xfId="0" applyAlignment="1">
      <alignment wrapText="1"/>
    </xf>
    <xf numFmtId="0" fontId="24" fillId="4" borderId="1" xfId="0" applyFont="1" applyFill="1" applyBorder="1" applyAlignment="1">
      <alignment horizontal="left" vertical="top" wrapText="1"/>
    </xf>
    <xf numFmtId="0" fontId="25" fillId="4" borderId="1" xfId="0" applyFont="1" applyFill="1" applyBorder="1" applyAlignment="1">
      <alignment horizontal="left" vertical="top" wrapText="1"/>
    </xf>
    <xf numFmtId="0" fontId="26" fillId="4" borderId="1" xfId="0" applyFont="1" applyFill="1" applyBorder="1" applyAlignment="1">
      <alignment horizontal="left" vertical="top" wrapText="1"/>
    </xf>
    <xf numFmtId="0" fontId="27" fillId="0" borderId="0" xfId="0" applyFont="1"/>
    <xf numFmtId="0" fontId="3" fillId="4" borderId="0" xfId="0" applyFont="1" applyFill="1" applyAlignment="1">
      <alignment horizontal="left" vertical="top"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4" borderId="0" xfId="0" applyFont="1" applyFill="1" applyAlignment="1">
      <alignment horizontal="left" vertical="center" wrapText="1"/>
    </xf>
    <xf numFmtId="0" fontId="8" fillId="7" borderId="1" xfId="0" applyFont="1" applyFill="1" applyBorder="1" applyAlignment="1">
      <alignment horizontal="left" vertical="center" wrapText="1"/>
    </xf>
    <xf numFmtId="0" fontId="4" fillId="3" borderId="0" xfId="0" applyFont="1" applyFill="1" applyAlignment="1">
      <alignment horizontal="left" vertical="center" wrapText="1"/>
    </xf>
    <xf numFmtId="0" fontId="10" fillId="2" borderId="0" xfId="0" applyFont="1" applyFill="1" applyAlignment="1">
      <alignment horizontal="center" vertical="center" wrapText="1"/>
    </xf>
    <xf numFmtId="0" fontId="8" fillId="8" borderId="0" xfId="0" applyFont="1" applyFill="1" applyAlignment="1">
      <alignment horizontal="left" vertical="center" wrapText="1"/>
    </xf>
    <xf numFmtId="0" fontId="7" fillId="4"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4" fillId="3" borderId="0" xfId="0" applyFont="1" applyFill="1" applyAlignment="1">
      <alignment horizontal="left" vertical="top" wrapText="1"/>
    </xf>
    <xf numFmtId="0" fontId="20" fillId="4" borderId="1" xfId="0" applyFont="1" applyFill="1" applyBorder="1" applyAlignment="1">
      <alignment horizontal="left" vertical="top" wrapText="1"/>
    </xf>
    <xf numFmtId="0" fontId="16" fillId="4" borderId="5" xfId="0" applyFont="1" applyFill="1" applyBorder="1" applyAlignment="1">
      <alignment horizontal="left" vertical="top" wrapText="1"/>
    </xf>
    <xf numFmtId="0" fontId="7" fillId="4" borderId="2" xfId="0" applyFont="1" applyFill="1" applyBorder="1" applyAlignment="1">
      <alignment horizontal="left" vertical="top" wrapText="1"/>
    </xf>
    <xf numFmtId="0" fontId="7" fillId="4" borderId="3" xfId="0" applyFont="1" applyFill="1" applyBorder="1" applyAlignment="1">
      <alignment horizontal="left" vertical="top" wrapText="1"/>
    </xf>
    <xf numFmtId="0" fontId="12" fillId="4"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5" fillId="7"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0" fillId="0" borderId="0" xfId="0" applyAlignment="1"/>
    <xf numFmtId="0" fontId="0" fillId="0" borderId="2" xfId="0" applyBorder="1" applyAlignment="1"/>
    <xf numFmtId="0" fontId="0" fillId="0" borderId="3" xfId="0" applyBorder="1" applyAlignment="1"/>
    <xf numFmtId="0" fontId="19" fillId="0" borderId="2" xfId="0" applyFont="1" applyBorder="1" applyAlignment="1"/>
    <xf numFmtId="0" fontId="19" fillId="0" borderId="3" xfId="0" applyFont="1" applyBorder="1" applyAlignment="1"/>
  </cellXfs>
  <cellStyles count="2">
    <cellStyle name="Normal" xfId="0" builtinId="0"/>
    <cellStyle name="Standard 2" xfId="1" xr:uid="{FD203616-22B6-4D66-9469-6229F130345E}"/>
  </cellStyles>
  <dxfs count="29">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numFmt numFmtId="0" formatCode="General"/>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dxf>
    <dxf>
      <font>
        <b/>
        <strike val="0"/>
        <condense val="0"/>
        <extend val="0"/>
        <outline val="0"/>
        <shadow val="0"/>
        <vertAlign val="baseline"/>
        <sz val="10"/>
        <color rgb="FFFFFFFF"/>
        <name val="Arial"/>
        <family val="2"/>
      </font>
      <fill>
        <patternFill patternType="solid">
          <fgColor indexed="64"/>
          <bgColor rgb="FF1F3864"/>
        </patternFill>
      </fill>
      <alignment horizontal="center" vertical="center" wrapText="1"/>
      <border outline="0">
        <left style="thin">
          <color rgb="FFBFBFBF"/>
        </left>
        <right style="thin">
          <color rgb="FFBFBFBF"/>
        </right>
        <top/>
        <bottom/>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BFBFBF"/>
        </top>
        <bottom style="thin">
          <color indexed="64"/>
        </bottom>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10</xdr:col>
      <xdr:colOff>79749</xdr:colOff>
      <xdr:row>5</xdr:row>
      <xdr:rowOff>1561964</xdr:rowOff>
    </xdr:from>
    <xdr:to>
      <xdr:col>10</xdr:col>
      <xdr:colOff>1845493</xdr:colOff>
      <xdr:row>5</xdr:row>
      <xdr:rowOff>2674921</xdr:rowOff>
    </xdr:to>
    <xdr:sp macro="" textlink="">
      <xdr:nvSpPr>
        <xdr:cNvPr id="2" name="Rectangle 1">
          <a:extLst>
            <a:ext uri="{FF2B5EF4-FFF2-40B4-BE49-F238E27FC236}">
              <a16:creationId xmlns:a16="http://schemas.microsoft.com/office/drawing/2014/main" id="{06903A17-E243-D4A2-DB83-A610BC76CD1E}"/>
            </a:ext>
          </a:extLst>
        </xdr:cNvPr>
        <xdr:cNvSpPr/>
      </xdr:nvSpPr>
      <xdr:spPr>
        <a:xfrm>
          <a:off x="22082499" y="3743189"/>
          <a:ext cx="1765744" cy="1112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why is it</a:t>
          </a:r>
          <a:r>
            <a:rPr lang="de-DE" sz="800" baseline="0"/>
            <a:t> two bars per region? One for net sales, one for average 7 days? Then the colour coding doesn´t make sense, as no deviation is displayed; in Alex`example only 1 bar is shown per region -&gt;  only the deviation</a:t>
          </a:r>
        </a:p>
      </xdr:txBody>
    </xdr:sp>
    <xdr:clientData/>
  </xdr:twoCellAnchor>
  <xdr:twoCellAnchor>
    <xdr:from>
      <xdr:col>3</xdr:col>
      <xdr:colOff>102419</xdr:colOff>
      <xdr:row>6</xdr:row>
      <xdr:rowOff>788628</xdr:rowOff>
    </xdr:from>
    <xdr:to>
      <xdr:col>3</xdr:col>
      <xdr:colOff>1874513</xdr:colOff>
      <xdr:row>6</xdr:row>
      <xdr:rowOff>1218789</xdr:rowOff>
    </xdr:to>
    <xdr:sp macro="" textlink="">
      <xdr:nvSpPr>
        <xdr:cNvPr id="3" name="Rectangle 2">
          <a:extLst>
            <a:ext uri="{FF2B5EF4-FFF2-40B4-BE49-F238E27FC236}">
              <a16:creationId xmlns:a16="http://schemas.microsoft.com/office/drawing/2014/main" id="{AD675DE8-8F38-4750-BD87-A0EDC6340FF8}"/>
            </a:ext>
          </a:extLst>
        </xdr:cNvPr>
        <xdr:cNvSpPr/>
      </xdr:nvSpPr>
      <xdr:spPr>
        <a:xfrm>
          <a:off x="4219677" y="5295080"/>
          <a:ext cx="1772094" cy="4301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why  improving? </a:t>
          </a:r>
          <a:endParaRPr lang="de-DE" sz="800" baseline="0"/>
        </a:p>
      </xdr:txBody>
    </xdr:sp>
    <xdr:clientData/>
  </xdr:twoCellAnchor>
  <xdr:twoCellAnchor>
    <xdr:from>
      <xdr:col>7</xdr:col>
      <xdr:colOff>713041</xdr:colOff>
      <xdr:row>6</xdr:row>
      <xdr:rowOff>809114</xdr:rowOff>
    </xdr:from>
    <xdr:to>
      <xdr:col>7</xdr:col>
      <xdr:colOff>2990644</xdr:colOff>
      <xdr:row>6</xdr:row>
      <xdr:rowOff>1935726</xdr:rowOff>
    </xdr:to>
    <xdr:sp macro="" textlink="">
      <xdr:nvSpPr>
        <xdr:cNvPr id="4" name="Rectangle 3">
          <a:extLst>
            <a:ext uri="{FF2B5EF4-FFF2-40B4-BE49-F238E27FC236}">
              <a16:creationId xmlns:a16="http://schemas.microsoft.com/office/drawing/2014/main" id="{0EB7FC98-EFE9-14A1-933D-4C8B36ED3BA8}"/>
            </a:ext>
          </a:extLst>
        </xdr:cNvPr>
        <xdr:cNvSpPr/>
      </xdr:nvSpPr>
      <xdr:spPr>
        <a:xfrm>
          <a:off x="14109493" y="5315566"/>
          <a:ext cx="2277603" cy="11266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according to Egi and Sascha, there is no threshold for low margins, it totally depends on customer, product</a:t>
          </a:r>
          <a:r>
            <a:rPr lang="de-DE" sz="800" baseline="0"/>
            <a:t> etc.</a:t>
          </a:r>
        </a:p>
        <a:p>
          <a:pPr algn="l"/>
          <a:r>
            <a:rPr lang="de-DE" sz="800" baseline="0"/>
            <a:t>My idea is to take the deviation between margin last year and current margin (but considering where a decrease of margin has happened), and then rank the customer by the highest deviation. What do you think?</a:t>
          </a:r>
        </a:p>
      </xdr:txBody>
    </xdr:sp>
    <xdr:clientData/>
  </xdr:twoCellAnchor>
  <xdr:twoCellAnchor>
    <xdr:from>
      <xdr:col>8</xdr:col>
      <xdr:colOff>87566</xdr:colOff>
      <xdr:row>6</xdr:row>
      <xdr:rowOff>1170757</xdr:rowOff>
    </xdr:from>
    <xdr:to>
      <xdr:col>8</xdr:col>
      <xdr:colOff>2355644</xdr:colOff>
      <xdr:row>6</xdr:row>
      <xdr:rowOff>1437046</xdr:rowOff>
    </xdr:to>
    <xdr:sp macro="" textlink="">
      <xdr:nvSpPr>
        <xdr:cNvPr id="5" name="Rectangle 4">
          <a:extLst>
            <a:ext uri="{FF2B5EF4-FFF2-40B4-BE49-F238E27FC236}">
              <a16:creationId xmlns:a16="http://schemas.microsoft.com/office/drawing/2014/main" id="{C12F79CF-70B5-C7DE-2771-5EFC4412CDB7}"/>
            </a:ext>
          </a:extLst>
        </xdr:cNvPr>
        <xdr:cNvSpPr/>
      </xdr:nvSpPr>
      <xdr:spPr>
        <a:xfrm>
          <a:off x="16628292" y="5677209"/>
          <a:ext cx="2268078" cy="26628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as left</a:t>
          </a:r>
          <a:r>
            <a:rPr lang="de-DE" sz="800" baseline="0"/>
            <a:t> comment, no threshold for low margin</a:t>
          </a:r>
        </a:p>
      </xdr:txBody>
    </xdr:sp>
    <xdr:clientData/>
  </xdr:twoCellAnchor>
  <xdr:twoCellAnchor>
    <xdr:from>
      <xdr:col>9</xdr:col>
      <xdr:colOff>3637216</xdr:colOff>
      <xdr:row>6</xdr:row>
      <xdr:rowOff>1526357</xdr:rowOff>
    </xdr:from>
    <xdr:to>
      <xdr:col>10</xdr:col>
      <xdr:colOff>1831668</xdr:colOff>
      <xdr:row>6</xdr:row>
      <xdr:rowOff>1898957</xdr:rowOff>
    </xdr:to>
    <xdr:sp macro="" textlink="">
      <xdr:nvSpPr>
        <xdr:cNvPr id="6" name="Rectangle 5">
          <a:extLst>
            <a:ext uri="{FF2B5EF4-FFF2-40B4-BE49-F238E27FC236}">
              <a16:creationId xmlns:a16="http://schemas.microsoft.com/office/drawing/2014/main" id="{C3D02ECE-9FEE-206D-663E-18B5A89E449C}"/>
            </a:ext>
            <a:ext uri="{147F2762-F138-4A5C-976F-8EAC2B608ADB}">
              <a16:predDERef xmlns:a16="http://schemas.microsoft.com/office/drawing/2014/main" pred="{C12F79CF-70B5-C7DE-2771-5EFC4412CDB7}"/>
            </a:ext>
          </a:extLst>
        </xdr:cNvPr>
        <xdr:cNvSpPr/>
      </xdr:nvSpPr>
      <xdr:spPr>
        <a:xfrm>
          <a:off x="21972841" y="6488882"/>
          <a:ext cx="1861577" cy="372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I</a:t>
          </a:r>
          <a:r>
            <a:rPr lang="de-DE" sz="800" baseline="0"/>
            <a:t> prefer having one chart for all 5 customer, not 5 individual charts</a:t>
          </a:r>
        </a:p>
      </xdr:txBody>
    </xdr:sp>
    <xdr:clientData/>
  </xdr:twoCellAnchor>
  <xdr:twoCellAnchor>
    <xdr:from>
      <xdr:col>2</xdr:col>
      <xdr:colOff>180463</xdr:colOff>
      <xdr:row>7</xdr:row>
      <xdr:rowOff>819354</xdr:rowOff>
    </xdr:from>
    <xdr:to>
      <xdr:col>2</xdr:col>
      <xdr:colOff>1952557</xdr:colOff>
      <xdr:row>7</xdr:row>
      <xdr:rowOff>1249515</xdr:rowOff>
    </xdr:to>
    <xdr:sp macro="" textlink="">
      <xdr:nvSpPr>
        <xdr:cNvPr id="7" name="Rectangle 6">
          <a:extLst>
            <a:ext uri="{FF2B5EF4-FFF2-40B4-BE49-F238E27FC236}">
              <a16:creationId xmlns:a16="http://schemas.microsoft.com/office/drawing/2014/main" id="{9C44124F-545F-952F-6781-0E1C7FBC9CC1}"/>
            </a:ext>
          </a:extLst>
        </xdr:cNvPr>
        <xdr:cNvSpPr/>
      </xdr:nvSpPr>
      <xdr:spPr>
        <a:xfrm>
          <a:off x="2198124" y="7333225"/>
          <a:ext cx="1772094" cy="4301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proposal: also showing</a:t>
          </a:r>
          <a:r>
            <a:rPr lang="de-DE" sz="800" baseline="0"/>
            <a:t> negative deviations?</a:t>
          </a:r>
        </a:p>
      </xdr:txBody>
    </xdr:sp>
    <xdr:clientData/>
  </xdr:twoCellAnchor>
  <xdr:twoCellAnchor>
    <xdr:from>
      <xdr:col>10</xdr:col>
      <xdr:colOff>84391</xdr:colOff>
      <xdr:row>7</xdr:row>
      <xdr:rowOff>627934</xdr:rowOff>
    </xdr:from>
    <xdr:to>
      <xdr:col>10</xdr:col>
      <xdr:colOff>1945968</xdr:colOff>
      <xdr:row>7</xdr:row>
      <xdr:rowOff>1239273</xdr:rowOff>
    </xdr:to>
    <xdr:sp macro="" textlink="">
      <xdr:nvSpPr>
        <xdr:cNvPr id="8" name="Rectangle 7">
          <a:extLst>
            <a:ext uri="{FF2B5EF4-FFF2-40B4-BE49-F238E27FC236}">
              <a16:creationId xmlns:a16="http://schemas.microsoft.com/office/drawing/2014/main" id="{75B43F9F-D3D8-9AA6-1AEC-5F76AA125DD6}"/>
            </a:ext>
          </a:extLst>
        </xdr:cNvPr>
        <xdr:cNvSpPr/>
      </xdr:nvSpPr>
      <xdr:spPr>
        <a:xfrm>
          <a:off x="23118504" y="7141805"/>
          <a:ext cx="1861577" cy="6113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800"/>
            <a:t>BP: tbd- whether</a:t>
          </a:r>
          <a:r>
            <a:rPr lang="de-DE" sz="800" baseline="0"/>
            <a:t> for all SBEs (let´s check how many they are), or only for most positive and most negative deiating SBEs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7832CB-6B25-4601-9266-23DEE2DE7AFF}" name="Tabelle2" displayName="Tabelle2" ref="A5:J11" totalsRowShown="0" headerRowDxfId="28" dataDxfId="27" tableBorderDxfId="26">
  <autoFilter ref="A5:J11" xr:uid="{017832CB-6B25-4601-9266-23DEE2DE7AFF}"/>
  <tableColumns count="10">
    <tableColumn id="1" xr3:uid="{01E1877B-6DF7-4725-A3A9-DEC2CC314734}" name="table_name" dataDxfId="25"/>
    <tableColumn id="2" xr3:uid="{996A70E1-13FB-4AE3-8FA6-01FBB9774E38}" name="alias" dataDxfId="24"/>
    <tableColumn id="3" xr3:uid="{24B6C990-5DC2-4A7A-82AE-15C051989043}" name="table_type" dataDxfId="23"/>
    <tableColumn id="4" xr3:uid="{B19C3711-F00B-4460-A18A-DD8519C99176}" name="primary_key" dataDxfId="22"/>
    <tableColumn id="5" xr3:uid="{87E5DA24-D80C-491E-94FE-79E03828584B}" name="grain" dataDxfId="21"/>
    <tableColumn id="6" xr3:uid="{23200FF0-DC93-4A1B-8E68-0B81630D5516}" name="when_to_use" dataDxfId="20"/>
    <tableColumn id="7" xr3:uid="{525C1C7A-1DAF-4E9E-A9CD-229C261C8C5F}" name="when_not_to_use" dataDxfId="19"/>
    <tableColumn id="8" xr3:uid="{B098AD3B-63BD-448B-A69F-E99877FBFFA9}" name="string_columns" dataDxfId="18"/>
    <tableColumn id="9" xr3:uid="{72D8FB40-6817-4DB1-8A26-2CCD37568645}" name="possible_metrics" dataDxfId="17"/>
    <tableColumn id="10" xr3:uid="{DBE1FEAE-476D-4905-86A9-7E50A1A9B07C}" name="notes" dataDxfId="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0181DE-AD25-43EC-8B68-0C89BE6465AA}" name="Tabelle14" displayName="Tabelle14" ref="A5:K605" totalsRowShown="0" headerRowDxfId="15" dataDxfId="14" headerRowBorderDxfId="12" tableBorderDxfId="13" totalsRowBorderDxfId="11">
  <autoFilter ref="A5:K605" xr:uid="{00000000-0009-0000-0100-000002000000}"/>
  <tableColumns count="11">
    <tableColumn id="1" xr3:uid="{00000000-0010-0000-0100-000001000000}" name="table_name" dataDxfId="10"/>
    <tableColumn id="2" xr3:uid="{00000000-0010-0000-0100-000002000000}" name="column_name" dataDxfId="9"/>
    <tableColumn id="12" xr3:uid="{00000000-0010-0000-0100-00000C000000}" name="technical_name" dataDxfId="8"/>
    <tableColumn id="3" xr3:uid="{00000000-0010-0000-0100-000003000000}" name="business_name" dataDxfId="7"/>
    <tableColumn id="4" xr3:uid="{00000000-0010-0000-0100-000004000000}" name="description" dataDxfId="6"/>
    <tableColumn id="5" xr3:uid="{00000000-0010-0000-0100-000005000000}" name="data_type" dataDxfId="5"/>
    <tableColumn id="6" xr3:uid="{00000000-0010-0000-0100-000006000000}" name="is_key" dataDxfId="4"/>
    <tableColumn id="7" xr3:uid="{00000000-0010-0000-0100-000007000000}" name="is_required" dataDxfId="3"/>
    <tableColumn id="8" xr3:uid="{00000000-0010-0000-0100-000008000000}" name="sample_values" dataDxfId="2"/>
    <tableColumn id="11" xr3:uid="{00000000-0010-0000-0100-00000B000000}" name="notes" dataDxfId="1"/>
    <tableColumn id="9" xr3:uid="{00000000-0010-0000-0100-000009000000}" name="friendly_nam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workbookViewId="0">
      <pane ySplit="9" topLeftCell="A10" activePane="bottomLeft" state="frozen"/>
      <selection pane="bottomLeft" activeCell="F16" sqref="F16"/>
      <selection activeCell="B52" sqref="B52"/>
    </sheetView>
  </sheetViews>
  <sheetFormatPr defaultColWidth="9.140625" defaultRowHeight="14.45"/>
  <cols>
    <col min="1" max="1" width="5" customWidth="1"/>
    <col min="2" max="2" width="28" customWidth="1"/>
    <col min="3" max="3" width="42" customWidth="1"/>
    <col min="4" max="4" width="22" customWidth="1"/>
    <col min="5" max="5" width="28" customWidth="1"/>
    <col min="6" max="6" width="16" customWidth="1"/>
    <col min="7" max="7" width="18" customWidth="1"/>
  </cols>
  <sheetData>
    <row r="1" spans="1:7" ht="32.1" customHeight="1">
      <c r="A1" s="57" t="s">
        <v>0</v>
      </c>
      <c r="B1" s="70"/>
      <c r="C1" s="70"/>
      <c r="D1" s="70"/>
      <c r="E1" s="70"/>
      <c r="F1" s="70"/>
      <c r="G1" s="70"/>
    </row>
    <row r="2" spans="1:7" ht="22.15" customHeight="1">
      <c r="A2" s="52" t="s">
        <v>1</v>
      </c>
      <c r="B2" s="70"/>
      <c r="C2" s="70"/>
      <c r="D2" s="70"/>
      <c r="E2" s="70"/>
      <c r="F2" s="70"/>
      <c r="G2" s="70"/>
    </row>
    <row r="3" spans="1:7" ht="44.1" customHeight="1">
      <c r="A3" s="54" t="s">
        <v>2</v>
      </c>
      <c r="B3" s="70"/>
      <c r="C3" s="70"/>
      <c r="D3" s="70"/>
      <c r="E3" s="70"/>
      <c r="F3" s="70"/>
      <c r="G3" s="70"/>
    </row>
    <row r="4" spans="1:7" ht="22.15" customHeight="1">
      <c r="A4" s="56" t="s">
        <v>3</v>
      </c>
      <c r="B4" s="70"/>
      <c r="C4" s="70"/>
      <c r="D4" s="70"/>
      <c r="E4" s="70"/>
      <c r="F4" s="70"/>
      <c r="G4" s="70"/>
    </row>
    <row r="5" spans="1:7" ht="20.100000000000001" customHeight="1">
      <c r="A5" s="6"/>
      <c r="B5" s="7" t="s">
        <v>4</v>
      </c>
      <c r="C5" s="55" t="s">
        <v>5</v>
      </c>
      <c r="D5" s="71"/>
      <c r="E5" s="71"/>
      <c r="F5" s="71"/>
      <c r="G5" s="71"/>
    </row>
    <row r="6" spans="1:7" ht="20.100000000000001" customHeight="1">
      <c r="A6" s="6"/>
      <c r="B6" s="7" t="s">
        <v>6</v>
      </c>
      <c r="C6" s="55" t="s">
        <v>7</v>
      </c>
      <c r="D6" s="71"/>
      <c r="E6" s="71"/>
      <c r="F6" s="71"/>
      <c r="G6" s="71"/>
    </row>
    <row r="7" spans="1:7" ht="20.100000000000001" customHeight="1">
      <c r="A7" s="6"/>
      <c r="B7" s="7" t="s">
        <v>8</v>
      </c>
      <c r="C7" s="55" t="s">
        <v>9</v>
      </c>
      <c r="D7" s="71"/>
      <c r="E7" s="71"/>
      <c r="F7" s="71"/>
      <c r="G7" s="71"/>
    </row>
    <row r="8" spans="1:7" ht="20.100000000000001" customHeight="1">
      <c r="A8" s="6"/>
      <c r="B8" s="7" t="s">
        <v>10</v>
      </c>
      <c r="C8" s="55" t="s">
        <v>11</v>
      </c>
      <c r="D8" s="71"/>
      <c r="E8" s="71"/>
      <c r="F8" s="71"/>
      <c r="G8" s="71"/>
    </row>
    <row r="9" spans="1:7" ht="20.100000000000001" customHeight="1">
      <c r="A9" s="6"/>
      <c r="B9" s="7" t="s">
        <v>12</v>
      </c>
      <c r="C9" s="55" t="s">
        <v>13</v>
      </c>
      <c r="D9" s="71"/>
      <c r="E9" s="71"/>
      <c r="F9" s="71"/>
      <c r="G9" s="71"/>
    </row>
    <row r="10" spans="1:7" ht="20.100000000000001" customHeight="1">
      <c r="A10" s="6"/>
      <c r="B10" s="7" t="s">
        <v>14</v>
      </c>
      <c r="C10" s="55" t="s">
        <v>15</v>
      </c>
      <c r="D10" s="71"/>
      <c r="E10" s="71"/>
      <c r="F10" s="71"/>
      <c r="G10" s="71"/>
    </row>
    <row r="11" spans="1:7" ht="20.100000000000001" customHeight="1">
      <c r="A11" s="6"/>
      <c r="B11" s="7" t="s">
        <v>16</v>
      </c>
      <c r="C11" s="55" t="s">
        <v>17</v>
      </c>
      <c r="D11" s="71"/>
      <c r="E11" s="71"/>
      <c r="F11" s="71"/>
      <c r="G11" s="71"/>
    </row>
    <row r="12" spans="1:7" ht="20.100000000000001" customHeight="1">
      <c r="A12" s="6"/>
      <c r="B12" s="7" t="s">
        <v>18</v>
      </c>
      <c r="C12" s="55" t="s">
        <v>19</v>
      </c>
      <c r="D12" s="71"/>
      <c r="E12" s="71"/>
      <c r="F12" s="71"/>
      <c r="G12" s="71"/>
    </row>
    <row r="13" spans="1:7" ht="20.100000000000001" customHeight="1">
      <c r="A13" s="6"/>
      <c r="B13" s="7" t="s">
        <v>20</v>
      </c>
      <c r="C13" s="55" t="s">
        <v>21</v>
      </c>
      <c r="D13" s="71"/>
      <c r="E13" s="71"/>
      <c r="F13" s="71"/>
      <c r="G13" s="71"/>
    </row>
    <row r="14" spans="1:7" ht="8.1" customHeight="1"/>
    <row r="15" spans="1:7" ht="22.15" customHeight="1">
      <c r="A15" s="56" t="s">
        <v>22</v>
      </c>
      <c r="B15" s="70"/>
      <c r="C15" s="70"/>
      <c r="D15" s="70"/>
      <c r="E15" s="70"/>
      <c r="F15" s="70"/>
      <c r="G15" s="70"/>
    </row>
    <row r="16" spans="1:7" ht="36" customHeight="1">
      <c r="A16" s="8" t="s">
        <v>23</v>
      </c>
      <c r="B16" s="8" t="s">
        <v>24</v>
      </c>
      <c r="C16" s="8" t="s">
        <v>25</v>
      </c>
      <c r="D16" s="8" t="s">
        <v>26</v>
      </c>
      <c r="E16" s="8" t="s">
        <v>27</v>
      </c>
      <c r="F16" s="8" t="s">
        <v>28</v>
      </c>
      <c r="G16" s="8" t="s">
        <v>29</v>
      </c>
    </row>
    <row r="17" spans="1:7" ht="72" customHeight="1">
      <c r="A17" s="9" t="s">
        <v>30</v>
      </c>
      <c r="B17" s="10" t="s">
        <v>31</v>
      </c>
      <c r="C17" s="11" t="s">
        <v>32</v>
      </c>
      <c r="D17" s="11" t="s">
        <v>33</v>
      </c>
      <c r="E17" s="11" t="s">
        <v>34</v>
      </c>
      <c r="F17" s="12" t="s">
        <v>35</v>
      </c>
      <c r="G17" s="13" t="s">
        <v>36</v>
      </c>
    </row>
    <row r="18" spans="1:7" ht="72" customHeight="1">
      <c r="A18" s="9" t="s">
        <v>37</v>
      </c>
      <c r="B18" s="7" t="s">
        <v>38</v>
      </c>
      <c r="C18" s="14" t="s">
        <v>39</v>
      </c>
      <c r="D18" s="14" t="s">
        <v>33</v>
      </c>
      <c r="E18" s="14" t="s">
        <v>40</v>
      </c>
      <c r="F18" s="12" t="s">
        <v>35</v>
      </c>
      <c r="G18" s="13" t="s">
        <v>36</v>
      </c>
    </row>
    <row r="19" spans="1:7" ht="72" customHeight="1">
      <c r="A19" s="9" t="s">
        <v>41</v>
      </c>
      <c r="B19" s="10" t="s">
        <v>42</v>
      </c>
      <c r="C19" s="11" t="s">
        <v>43</v>
      </c>
      <c r="D19" s="11" t="s">
        <v>44</v>
      </c>
      <c r="E19" s="11" t="s">
        <v>45</v>
      </c>
      <c r="F19" s="12" t="s">
        <v>46</v>
      </c>
      <c r="G19" s="13" t="s">
        <v>36</v>
      </c>
    </row>
    <row r="20" spans="1:7" ht="72" customHeight="1">
      <c r="A20" s="9" t="s">
        <v>47</v>
      </c>
      <c r="B20" s="7" t="s">
        <v>48</v>
      </c>
      <c r="C20" s="14" t="s">
        <v>49</v>
      </c>
      <c r="D20" s="14" t="s">
        <v>50</v>
      </c>
      <c r="E20" s="14" t="s">
        <v>51</v>
      </c>
      <c r="F20" s="12" t="s">
        <v>46</v>
      </c>
      <c r="G20" s="13" t="s">
        <v>36</v>
      </c>
    </row>
    <row r="21" spans="1:7" ht="72" customHeight="1">
      <c r="A21" s="9" t="s">
        <v>52</v>
      </c>
      <c r="B21" s="10" t="s">
        <v>53</v>
      </c>
      <c r="C21" s="11" t="s">
        <v>54</v>
      </c>
      <c r="D21" s="11" t="s">
        <v>55</v>
      </c>
      <c r="E21" s="11" t="s">
        <v>56</v>
      </c>
      <c r="F21" s="15" t="s">
        <v>57</v>
      </c>
      <c r="G21" s="13" t="s">
        <v>36</v>
      </c>
    </row>
    <row r="22" spans="1:7" ht="72" customHeight="1">
      <c r="A22" s="9" t="s">
        <v>58</v>
      </c>
      <c r="B22" s="7" t="s">
        <v>59</v>
      </c>
      <c r="C22" s="14" t="s">
        <v>60</v>
      </c>
      <c r="D22" s="14" t="s">
        <v>61</v>
      </c>
      <c r="E22" s="14" t="s">
        <v>62</v>
      </c>
      <c r="F22" s="15" t="s">
        <v>57</v>
      </c>
      <c r="G22" s="13" t="s">
        <v>36</v>
      </c>
    </row>
    <row r="23" spans="1:7" ht="72" customHeight="1">
      <c r="A23" s="9" t="s">
        <v>63</v>
      </c>
      <c r="B23" s="10" t="s">
        <v>64</v>
      </c>
      <c r="C23" s="11" t="s">
        <v>65</v>
      </c>
      <c r="D23" s="11" t="s">
        <v>61</v>
      </c>
      <c r="E23" s="11" t="s">
        <v>66</v>
      </c>
      <c r="F23" s="15" t="s">
        <v>57</v>
      </c>
      <c r="G23" s="13" t="s">
        <v>36</v>
      </c>
    </row>
    <row r="24" spans="1:7" ht="72" customHeight="1">
      <c r="A24" s="9" t="s">
        <v>67</v>
      </c>
      <c r="B24" s="7" t="s">
        <v>68</v>
      </c>
      <c r="C24" s="14" t="s">
        <v>69</v>
      </c>
      <c r="D24" s="14" t="s">
        <v>70</v>
      </c>
      <c r="E24" s="14" t="s">
        <v>71</v>
      </c>
      <c r="F24" s="12" t="s">
        <v>46</v>
      </c>
      <c r="G24" s="13" t="s">
        <v>36</v>
      </c>
    </row>
    <row r="25" spans="1:7" ht="72" customHeight="1">
      <c r="A25" s="9" t="s">
        <v>72</v>
      </c>
      <c r="B25" s="10" t="s">
        <v>73</v>
      </c>
      <c r="C25" s="11" t="s">
        <v>74</v>
      </c>
      <c r="D25" s="11" t="s">
        <v>75</v>
      </c>
      <c r="E25" s="11" t="s">
        <v>76</v>
      </c>
      <c r="F25" s="15" t="s">
        <v>57</v>
      </c>
      <c r="G25" s="13" t="s">
        <v>36</v>
      </c>
    </row>
    <row r="26" spans="1:7">
      <c r="A26" s="70"/>
      <c r="B26" s="70"/>
      <c r="C26" s="70"/>
      <c r="D26" s="70"/>
      <c r="E26" s="70"/>
      <c r="F26" s="70"/>
      <c r="G26" s="70"/>
    </row>
    <row r="27" spans="1:7" ht="20.100000000000001" customHeight="1">
      <c r="A27" s="58" t="s">
        <v>77</v>
      </c>
      <c r="B27" s="70"/>
      <c r="C27" s="70"/>
      <c r="D27" s="70"/>
      <c r="E27" s="70"/>
      <c r="F27" s="70"/>
      <c r="G27" s="70"/>
    </row>
    <row r="28" spans="1:7" ht="8.1" customHeight="1">
      <c r="A28" s="70"/>
      <c r="B28" s="70"/>
      <c r="C28" s="70"/>
      <c r="D28" s="70"/>
      <c r="E28" s="70"/>
      <c r="F28" s="70"/>
      <c r="G28" s="70"/>
    </row>
    <row r="29" spans="1:7" ht="36" customHeight="1">
      <c r="A29" s="54" t="s">
        <v>78</v>
      </c>
      <c r="B29" s="70"/>
      <c r="C29" s="70"/>
      <c r="D29" s="70"/>
      <c r="E29" s="70"/>
      <c r="F29" s="70"/>
      <c r="G29" s="70"/>
    </row>
  </sheetData>
  <mergeCells count="18">
    <mergeCell ref="A1:G1"/>
    <mergeCell ref="C12:G12"/>
    <mergeCell ref="A27:G27"/>
    <mergeCell ref="C7:G7"/>
    <mergeCell ref="A28:G28"/>
    <mergeCell ref="A15:G15"/>
    <mergeCell ref="A29:G29"/>
    <mergeCell ref="C5:G5"/>
    <mergeCell ref="A2:G2"/>
    <mergeCell ref="C9:G9"/>
    <mergeCell ref="C13:G13"/>
    <mergeCell ref="A26:G26"/>
    <mergeCell ref="C8:G8"/>
    <mergeCell ref="A4:G4"/>
    <mergeCell ref="C6:G6"/>
    <mergeCell ref="A3:G3"/>
    <mergeCell ref="C10:G10"/>
    <mergeCell ref="C11:G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zoomScale="80" zoomScaleNormal="130" workbookViewId="0">
      <pane ySplit="5" topLeftCell="A6" activePane="bottomLeft" state="frozen"/>
      <selection pane="bottomLeft" activeCell="B7" sqref="B7"/>
      <selection activeCell="B52" sqref="B52"/>
    </sheetView>
  </sheetViews>
  <sheetFormatPr defaultColWidth="9.140625" defaultRowHeight="14.45"/>
  <cols>
    <col min="1" max="1" width="31.85546875" customWidth="1"/>
    <col min="2" max="2" width="31.5703125" customWidth="1"/>
    <col min="3" max="3" width="26.28515625" customWidth="1"/>
    <col min="4" max="4" width="23.85546875" customWidth="1"/>
    <col min="5" max="5" width="38" customWidth="1"/>
    <col min="6" max="6" width="48.5703125" customWidth="1"/>
    <col min="7" max="7" width="45" customWidth="1"/>
    <col min="8" max="8" width="44.28515625" customWidth="1"/>
    <col min="9" max="9" width="36.7109375" customWidth="1"/>
    <col min="10" max="10" width="45" customWidth="1"/>
  </cols>
  <sheetData>
    <row r="1" spans="1:10" ht="28.15" customHeight="1">
      <c r="A1" s="53" t="s">
        <v>79</v>
      </c>
      <c r="B1" s="70"/>
      <c r="C1" s="70"/>
      <c r="D1" s="70"/>
      <c r="E1" s="70"/>
      <c r="F1" s="70"/>
      <c r="G1" s="70"/>
      <c r="H1" s="70"/>
      <c r="I1" s="70"/>
      <c r="J1" s="70"/>
    </row>
    <row r="2" spans="1:10" ht="18" customHeight="1">
      <c r="A2" s="52" t="s">
        <v>80</v>
      </c>
      <c r="B2" s="70"/>
      <c r="C2" s="70"/>
      <c r="D2" s="70"/>
      <c r="E2" s="70"/>
      <c r="F2" s="70"/>
      <c r="G2" s="70"/>
      <c r="H2" s="70"/>
      <c r="I2" s="70"/>
      <c r="J2" s="70"/>
    </row>
    <row r="3" spans="1:10" ht="36" customHeight="1">
      <c r="A3" s="51" t="s">
        <v>81</v>
      </c>
      <c r="B3" s="70"/>
      <c r="C3" s="70"/>
      <c r="D3" s="70"/>
      <c r="E3" s="70"/>
      <c r="F3" s="70"/>
      <c r="G3" s="70"/>
      <c r="H3" s="70"/>
      <c r="I3" s="70"/>
      <c r="J3" s="70"/>
    </row>
    <row r="4" spans="1:10" ht="36" customHeight="1">
      <c r="A4" s="20" t="s">
        <v>5</v>
      </c>
      <c r="B4" s="24"/>
      <c r="C4" s="21"/>
      <c r="D4" s="17"/>
      <c r="E4" s="17"/>
      <c r="F4" s="19"/>
      <c r="G4" s="18"/>
      <c r="J4" s="17" t="s">
        <v>82</v>
      </c>
    </row>
    <row r="5" spans="1:10" ht="30" customHeight="1">
      <c r="A5" s="31" t="s">
        <v>83</v>
      </c>
      <c r="B5" s="31" t="s">
        <v>84</v>
      </c>
      <c r="C5" s="31" t="s">
        <v>85</v>
      </c>
      <c r="D5" s="31" t="s">
        <v>86</v>
      </c>
      <c r="E5" s="31" t="s">
        <v>87</v>
      </c>
      <c r="F5" s="31" t="s">
        <v>88</v>
      </c>
      <c r="G5" s="31" t="s">
        <v>89</v>
      </c>
      <c r="H5" s="31" t="s">
        <v>90</v>
      </c>
      <c r="I5" s="31" t="s">
        <v>91</v>
      </c>
      <c r="J5" s="31" t="s">
        <v>92</v>
      </c>
    </row>
    <row r="6" spans="1:10" ht="172.9" customHeight="1">
      <c r="A6" s="30" t="s">
        <v>93</v>
      </c>
      <c r="B6" s="30" t="s">
        <v>94</v>
      </c>
      <c r="C6" s="30"/>
      <c r="D6" s="30"/>
      <c r="E6" s="30"/>
      <c r="F6" s="30" t="s">
        <v>95</v>
      </c>
      <c r="G6" s="37" t="s">
        <v>96</v>
      </c>
      <c r="H6" s="30" t="s">
        <v>97</v>
      </c>
      <c r="I6" s="30" t="s">
        <v>98</v>
      </c>
      <c r="J6" s="30"/>
    </row>
    <row r="7" spans="1:10" ht="172.9" customHeight="1">
      <c r="A7" s="30" t="s">
        <v>99</v>
      </c>
      <c r="B7" s="30" t="s">
        <v>100</v>
      </c>
      <c r="C7" s="30"/>
      <c r="D7" s="30"/>
      <c r="E7" s="30"/>
      <c r="F7" s="30" t="s">
        <v>101</v>
      </c>
      <c r="G7" s="30" t="s">
        <v>102</v>
      </c>
      <c r="H7" s="30" t="s">
        <v>103</v>
      </c>
      <c r="I7" s="30" t="s">
        <v>104</v>
      </c>
      <c r="J7" s="30"/>
    </row>
    <row r="8" spans="1:10" ht="172.9" customHeight="1">
      <c r="A8" s="30" t="s">
        <v>105</v>
      </c>
      <c r="B8" s="30" t="s">
        <v>106</v>
      </c>
      <c r="C8" s="30"/>
      <c r="D8" s="30"/>
      <c r="E8" s="30"/>
      <c r="F8" s="30" t="s">
        <v>107</v>
      </c>
      <c r="G8" s="30" t="s">
        <v>108</v>
      </c>
      <c r="H8" s="30" t="s">
        <v>109</v>
      </c>
      <c r="I8" s="30" t="s">
        <v>110</v>
      </c>
      <c r="J8" s="30"/>
    </row>
    <row r="9" spans="1:10" ht="172.9" customHeight="1">
      <c r="A9" s="30" t="s">
        <v>111</v>
      </c>
      <c r="B9" s="30" t="s">
        <v>112</v>
      </c>
      <c r="C9" s="30"/>
      <c r="D9" s="30"/>
      <c r="E9" s="30"/>
      <c r="F9" s="30" t="s">
        <v>113</v>
      </c>
      <c r="G9" s="30" t="s">
        <v>114</v>
      </c>
      <c r="H9" s="30" t="s">
        <v>115</v>
      </c>
      <c r="I9" s="30" t="s">
        <v>116</v>
      </c>
      <c r="J9" s="30"/>
    </row>
    <row r="10" spans="1:10" ht="172.9" customHeight="1">
      <c r="A10" s="32" t="s">
        <v>117</v>
      </c>
      <c r="B10" s="32" t="s">
        <v>118</v>
      </c>
      <c r="C10" s="32"/>
      <c r="D10" s="32"/>
      <c r="E10" s="32"/>
      <c r="F10" s="32" t="s">
        <v>119</v>
      </c>
      <c r="G10" s="32" t="s">
        <v>120</v>
      </c>
      <c r="H10" s="32" t="s">
        <v>121</v>
      </c>
      <c r="I10" s="32" t="s">
        <v>122</v>
      </c>
      <c r="J10" s="32"/>
    </row>
    <row r="11" spans="1:10" ht="68.45" customHeight="1">
      <c r="A11" s="32" t="s">
        <v>123</v>
      </c>
      <c r="B11" s="32" t="s">
        <v>124</v>
      </c>
      <c r="C11" s="32"/>
      <c r="D11" s="32"/>
      <c r="E11" s="32"/>
      <c r="F11" s="32" t="s">
        <v>125</v>
      </c>
      <c r="G11" s="32" t="s">
        <v>126</v>
      </c>
      <c r="H11" s="32" t="s">
        <v>127</v>
      </c>
      <c r="I11" s="32" t="s">
        <v>128</v>
      </c>
      <c r="J11" s="32"/>
    </row>
    <row r="12" spans="1:10" ht="24.6" customHeight="1">
      <c r="A12" t="s">
        <v>5</v>
      </c>
      <c r="B12" t="s">
        <v>129</v>
      </c>
    </row>
    <row r="13" spans="1:10" ht="21" customHeight="1">
      <c r="A13" s="17" t="s">
        <v>130</v>
      </c>
      <c r="B13" s="21" t="s">
        <v>130</v>
      </c>
    </row>
    <row r="14" spans="1:10" ht="22.9" customHeight="1">
      <c r="A14" s="18" t="s">
        <v>131</v>
      </c>
      <c r="B14" s="22" t="s">
        <v>131</v>
      </c>
    </row>
    <row r="15" spans="1:10">
      <c r="A15" s="19" t="s">
        <v>132</v>
      </c>
      <c r="B15" s="23" t="s">
        <v>132</v>
      </c>
    </row>
    <row r="16" spans="1:10" ht="20.100000000000001" customHeight="1"/>
    <row r="17" spans="1:10">
      <c r="A17" s="51" t="s">
        <v>133</v>
      </c>
      <c r="B17" s="70"/>
      <c r="C17" s="70"/>
      <c r="D17" s="70"/>
      <c r="E17" s="70"/>
      <c r="F17" s="70"/>
      <c r="G17" s="70"/>
      <c r="H17" s="70"/>
      <c r="I17" s="70"/>
      <c r="J17" s="70"/>
    </row>
  </sheetData>
  <mergeCells count="4">
    <mergeCell ref="A17:J17"/>
    <mergeCell ref="A1:J1"/>
    <mergeCell ref="A3:J3"/>
    <mergeCell ref="A2:J2"/>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EC5AB-B308-420D-848F-1AE647D57E86}">
  <dimension ref="A1:O609"/>
  <sheetViews>
    <sheetView zoomScale="90" zoomScaleNormal="115" workbookViewId="0">
      <pane ySplit="5" topLeftCell="A6" activePane="bottomLeft" state="frozen"/>
      <selection pane="bottomLeft" activeCell="C6" sqref="C6"/>
    </sheetView>
  </sheetViews>
  <sheetFormatPr defaultColWidth="9.140625" defaultRowHeight="14.45"/>
  <cols>
    <col min="1" max="1" width="32.140625" customWidth="1"/>
    <col min="2" max="3" width="28.140625" customWidth="1"/>
    <col min="4" max="4" width="22" customWidth="1"/>
    <col min="5" max="5" width="48" customWidth="1"/>
    <col min="6" max="6" width="14" customWidth="1"/>
    <col min="7" max="7" width="12.7109375" customWidth="1"/>
    <col min="8" max="8" width="12.85546875" customWidth="1"/>
    <col min="9" max="10" width="30" customWidth="1"/>
    <col min="11" max="11" width="38" customWidth="1"/>
    <col min="15" max="15" width="73.42578125" customWidth="1"/>
  </cols>
  <sheetData>
    <row r="1" spans="1:11" ht="27.75" customHeight="1">
      <c r="A1" s="53" t="s">
        <v>134</v>
      </c>
      <c r="B1" s="70"/>
      <c r="C1" s="70"/>
      <c r="D1" s="70"/>
      <c r="E1" s="70"/>
      <c r="F1" s="70"/>
      <c r="G1" s="70"/>
      <c r="H1" s="70"/>
      <c r="I1" s="70"/>
      <c r="J1" s="70"/>
      <c r="K1" s="70"/>
    </row>
    <row r="2" spans="1:11" ht="18" customHeight="1">
      <c r="A2" s="52" t="s">
        <v>135</v>
      </c>
      <c r="B2" s="70"/>
      <c r="C2" s="70"/>
      <c r="D2" s="70"/>
      <c r="E2" s="70"/>
      <c r="F2" s="70"/>
      <c r="G2" s="70"/>
      <c r="H2" s="70"/>
      <c r="I2" s="70"/>
      <c r="J2" s="70"/>
      <c r="K2" s="70"/>
    </row>
    <row r="3" spans="1:11" ht="36" customHeight="1">
      <c r="A3" s="51" t="s">
        <v>136</v>
      </c>
      <c r="B3" s="70"/>
      <c r="C3" s="70"/>
      <c r="D3" s="70"/>
      <c r="E3" s="70"/>
      <c r="F3" s="70"/>
      <c r="G3" s="70"/>
      <c r="H3" s="70"/>
      <c r="I3" s="70"/>
      <c r="J3" s="70"/>
      <c r="K3" s="70"/>
    </row>
    <row r="4" spans="1:11" ht="36" customHeight="1"/>
    <row r="5" spans="1:11" ht="30" customHeight="1">
      <c r="A5" s="27" t="s">
        <v>83</v>
      </c>
      <c r="B5" s="28" t="s">
        <v>137</v>
      </c>
      <c r="C5" s="28" t="s">
        <v>138</v>
      </c>
      <c r="D5" s="28" t="s">
        <v>139</v>
      </c>
      <c r="E5" s="28" t="s">
        <v>140</v>
      </c>
      <c r="F5" s="28" t="s">
        <v>141</v>
      </c>
      <c r="G5" s="28" t="s">
        <v>142</v>
      </c>
      <c r="H5" s="28" t="s">
        <v>143</v>
      </c>
      <c r="I5" s="28" t="s">
        <v>144</v>
      </c>
      <c r="J5" s="29" t="s">
        <v>92</v>
      </c>
      <c r="K5" s="29" t="s">
        <v>145</v>
      </c>
    </row>
    <row r="6" spans="1:11" ht="60" customHeight="1">
      <c r="A6" s="33" t="s">
        <v>93</v>
      </c>
      <c r="B6" s="34" t="s">
        <v>146</v>
      </c>
      <c r="C6" s="34" t="s">
        <v>147</v>
      </c>
      <c r="D6" s="34" t="s">
        <v>148</v>
      </c>
      <c r="E6" s="34" t="s">
        <v>149</v>
      </c>
      <c r="F6" s="34" t="s">
        <v>150</v>
      </c>
      <c r="G6" s="34"/>
      <c r="H6" s="34" t="s">
        <v>151</v>
      </c>
      <c r="I6" s="34">
        <v>70</v>
      </c>
      <c r="J6" s="35" t="s">
        <v>152</v>
      </c>
      <c r="K6" s="35" t="s">
        <v>153</v>
      </c>
    </row>
    <row r="7" spans="1:11" ht="60" customHeight="1">
      <c r="A7" s="33" t="s">
        <v>93</v>
      </c>
      <c r="B7" s="34" t="s">
        <v>154</v>
      </c>
      <c r="C7" s="34" t="s">
        <v>155</v>
      </c>
      <c r="D7" s="34" t="s">
        <v>156</v>
      </c>
      <c r="E7" s="34"/>
      <c r="F7" s="34" t="s">
        <v>157</v>
      </c>
      <c r="G7" s="34"/>
      <c r="H7" s="34" t="s">
        <v>151</v>
      </c>
      <c r="I7" s="34" t="s">
        <v>158</v>
      </c>
      <c r="J7" s="35" t="s">
        <v>159</v>
      </c>
      <c r="K7" s="35"/>
    </row>
    <row r="8" spans="1:11" ht="60" customHeight="1">
      <c r="A8" s="33" t="s">
        <v>93</v>
      </c>
      <c r="B8" s="34" t="s">
        <v>160</v>
      </c>
      <c r="C8" s="34" t="s">
        <v>161</v>
      </c>
      <c r="D8" s="34" t="s">
        <v>162</v>
      </c>
      <c r="E8" s="34" t="s">
        <v>163</v>
      </c>
      <c r="F8" s="34" t="s">
        <v>164</v>
      </c>
      <c r="G8" s="34"/>
      <c r="H8" s="34" t="s">
        <v>151</v>
      </c>
      <c r="I8" s="34">
        <v>889</v>
      </c>
      <c r="J8" s="35" t="s">
        <v>165</v>
      </c>
      <c r="K8" s="35" t="s">
        <v>166</v>
      </c>
    </row>
    <row r="9" spans="1:11" ht="60" customHeight="1">
      <c r="A9" s="33" t="s">
        <v>93</v>
      </c>
      <c r="B9" s="34" t="s">
        <v>167</v>
      </c>
      <c r="C9" s="34" t="s">
        <v>168</v>
      </c>
      <c r="D9" s="34" t="s">
        <v>169</v>
      </c>
      <c r="E9" s="34"/>
      <c r="F9" s="34" t="s">
        <v>157</v>
      </c>
      <c r="G9" s="34"/>
      <c r="H9" s="34" t="s">
        <v>151</v>
      </c>
      <c r="I9" s="34" t="s">
        <v>170</v>
      </c>
      <c r="J9" s="35" t="s">
        <v>159</v>
      </c>
      <c r="K9" s="35"/>
    </row>
    <row r="10" spans="1:11" ht="60" customHeight="1">
      <c r="A10" s="33" t="s">
        <v>93</v>
      </c>
      <c r="B10" s="34" t="s">
        <v>171</v>
      </c>
      <c r="C10" s="34" t="s">
        <v>172</v>
      </c>
      <c r="D10" s="34" t="s">
        <v>173</v>
      </c>
      <c r="E10" s="34" t="s">
        <v>174</v>
      </c>
      <c r="F10" s="34" t="s">
        <v>175</v>
      </c>
      <c r="G10" s="34"/>
      <c r="H10" s="34" t="s">
        <v>151</v>
      </c>
      <c r="I10" s="34" t="s">
        <v>176</v>
      </c>
      <c r="J10" s="35" t="s">
        <v>177</v>
      </c>
      <c r="K10" s="35" t="s">
        <v>178</v>
      </c>
    </row>
    <row r="11" spans="1:11" ht="60" customHeight="1">
      <c r="A11" s="33" t="s">
        <v>93</v>
      </c>
      <c r="B11" s="34" t="s">
        <v>179</v>
      </c>
      <c r="C11" s="34" t="s">
        <v>180</v>
      </c>
      <c r="D11" s="34" t="s">
        <v>181</v>
      </c>
      <c r="E11" s="34"/>
      <c r="F11" s="34" t="s">
        <v>157</v>
      </c>
      <c r="G11" s="34"/>
      <c r="H11" s="34" t="s">
        <v>151</v>
      </c>
      <c r="I11" s="34" t="s">
        <v>182</v>
      </c>
      <c r="J11" s="35" t="s">
        <v>159</v>
      </c>
      <c r="K11" s="35"/>
    </row>
    <row r="12" spans="1:11" ht="60" customHeight="1">
      <c r="A12" s="33" t="s">
        <v>93</v>
      </c>
      <c r="B12" s="34" t="s">
        <v>183</v>
      </c>
      <c r="C12" s="34" t="s">
        <v>184</v>
      </c>
      <c r="D12" s="34" t="s">
        <v>185</v>
      </c>
      <c r="E12" s="34" t="s">
        <v>186</v>
      </c>
      <c r="F12" s="34" t="s">
        <v>187</v>
      </c>
      <c r="G12" s="34"/>
      <c r="H12" s="34" t="s">
        <v>151</v>
      </c>
      <c r="I12" s="34" t="s">
        <v>188</v>
      </c>
      <c r="J12" s="35" t="s">
        <v>189</v>
      </c>
      <c r="K12" s="35" t="s">
        <v>190</v>
      </c>
    </row>
    <row r="13" spans="1:11" ht="60" customHeight="1">
      <c r="A13" s="33" t="s">
        <v>93</v>
      </c>
      <c r="B13" s="34" t="s">
        <v>191</v>
      </c>
      <c r="C13" s="34" t="s">
        <v>192</v>
      </c>
      <c r="D13" s="34" t="s">
        <v>193</v>
      </c>
      <c r="E13" s="34"/>
      <c r="F13" s="34" t="s">
        <v>194</v>
      </c>
      <c r="G13" s="34"/>
      <c r="H13" s="34" t="s">
        <v>151</v>
      </c>
      <c r="I13" s="34" t="s">
        <v>195</v>
      </c>
      <c r="J13" s="35" t="s">
        <v>196</v>
      </c>
      <c r="K13" s="35"/>
    </row>
    <row r="14" spans="1:11" ht="60" customHeight="1">
      <c r="A14" s="33" t="s">
        <v>93</v>
      </c>
      <c r="B14" s="34" t="s">
        <v>197</v>
      </c>
      <c r="C14" s="34" t="s">
        <v>198</v>
      </c>
      <c r="D14" s="34" t="s">
        <v>199</v>
      </c>
      <c r="E14" s="34" t="s">
        <v>200</v>
      </c>
      <c r="F14" s="34" t="s">
        <v>187</v>
      </c>
      <c r="G14" s="34"/>
      <c r="H14" s="34" t="s">
        <v>151</v>
      </c>
      <c r="I14" s="34" t="s">
        <v>188</v>
      </c>
      <c r="J14" s="35" t="s">
        <v>189</v>
      </c>
      <c r="K14" s="35" t="s">
        <v>201</v>
      </c>
    </row>
    <row r="15" spans="1:11" ht="60" customHeight="1">
      <c r="A15" s="33" t="s">
        <v>93</v>
      </c>
      <c r="B15" s="34" t="s">
        <v>202</v>
      </c>
      <c r="C15" s="34" t="s">
        <v>203</v>
      </c>
      <c r="D15" s="34" t="s">
        <v>204</v>
      </c>
      <c r="E15" s="34"/>
      <c r="F15" s="34" t="s">
        <v>205</v>
      </c>
      <c r="G15" s="34"/>
      <c r="H15" s="34" t="s">
        <v>151</v>
      </c>
      <c r="I15" s="34" t="s">
        <v>195</v>
      </c>
      <c r="J15" s="35" t="s">
        <v>206</v>
      </c>
      <c r="K15" s="35"/>
    </row>
    <row r="16" spans="1:11" ht="60" customHeight="1">
      <c r="A16" s="33" t="s">
        <v>93</v>
      </c>
      <c r="B16" s="34" t="s">
        <v>207</v>
      </c>
      <c r="C16" s="34" t="s">
        <v>208</v>
      </c>
      <c r="D16" s="34" t="s">
        <v>209</v>
      </c>
      <c r="E16" s="34" t="s">
        <v>210</v>
      </c>
      <c r="F16" s="34" t="s">
        <v>187</v>
      </c>
      <c r="G16" s="34"/>
      <c r="H16" s="34" t="s">
        <v>151</v>
      </c>
      <c r="I16" s="34" t="s">
        <v>211</v>
      </c>
      <c r="J16" s="35" t="s">
        <v>189</v>
      </c>
      <c r="K16" s="35" t="s">
        <v>212</v>
      </c>
    </row>
    <row r="17" spans="1:11" ht="60" customHeight="1">
      <c r="A17" s="33" t="s">
        <v>93</v>
      </c>
      <c r="B17" s="34" t="s">
        <v>213</v>
      </c>
      <c r="C17" s="34" t="s">
        <v>214</v>
      </c>
      <c r="D17" s="34" t="s">
        <v>215</v>
      </c>
      <c r="E17" s="34"/>
      <c r="F17" s="34" t="s">
        <v>216</v>
      </c>
      <c r="G17" s="34"/>
      <c r="H17" s="34" t="s">
        <v>151</v>
      </c>
      <c r="I17" s="34" t="s">
        <v>217</v>
      </c>
      <c r="J17" s="35" t="s">
        <v>218</v>
      </c>
      <c r="K17" s="35"/>
    </row>
    <row r="18" spans="1:11" ht="60" customHeight="1">
      <c r="A18" s="33" t="s">
        <v>93</v>
      </c>
      <c r="B18" s="34" t="s">
        <v>219</v>
      </c>
      <c r="C18" s="34" t="s">
        <v>220</v>
      </c>
      <c r="D18" s="34" t="s">
        <v>221</v>
      </c>
      <c r="E18" s="34" t="s">
        <v>222</v>
      </c>
      <c r="F18" s="34" t="s">
        <v>223</v>
      </c>
      <c r="G18" s="34"/>
      <c r="H18" s="34" t="s">
        <v>151</v>
      </c>
      <c r="I18" s="34" t="s">
        <v>224</v>
      </c>
      <c r="J18" s="35" t="s">
        <v>225</v>
      </c>
      <c r="K18" s="35" t="s">
        <v>226</v>
      </c>
    </row>
    <row r="19" spans="1:11" ht="60" customHeight="1">
      <c r="A19" s="33" t="s">
        <v>93</v>
      </c>
      <c r="B19" s="34" t="s">
        <v>227</v>
      </c>
      <c r="C19" s="34" t="s">
        <v>228</v>
      </c>
      <c r="D19" s="34" t="s">
        <v>229</v>
      </c>
      <c r="E19" s="34"/>
      <c r="F19" s="34" t="s">
        <v>157</v>
      </c>
      <c r="G19" s="34"/>
      <c r="H19" s="34" t="s">
        <v>151</v>
      </c>
      <c r="I19" s="34" t="s">
        <v>230</v>
      </c>
      <c r="J19" s="35" t="s">
        <v>159</v>
      </c>
      <c r="K19" s="35"/>
    </row>
    <row r="20" spans="1:11" ht="60" customHeight="1">
      <c r="A20" s="33" t="s">
        <v>93</v>
      </c>
      <c r="B20" s="34" t="s">
        <v>231</v>
      </c>
      <c r="C20" s="34" t="s">
        <v>232</v>
      </c>
      <c r="D20" s="34" t="s">
        <v>233</v>
      </c>
      <c r="E20" s="34" t="s">
        <v>234</v>
      </c>
      <c r="F20" s="34" t="s">
        <v>235</v>
      </c>
      <c r="G20" s="34"/>
      <c r="H20" s="34" t="s">
        <v>151</v>
      </c>
      <c r="I20" s="34" t="s">
        <v>236</v>
      </c>
      <c r="J20" s="35" t="s">
        <v>237</v>
      </c>
      <c r="K20" s="35" t="s">
        <v>238</v>
      </c>
    </row>
    <row r="21" spans="1:11" ht="60" customHeight="1">
      <c r="A21" s="33" t="s">
        <v>93</v>
      </c>
      <c r="B21" s="34" t="s">
        <v>239</v>
      </c>
      <c r="C21" s="34" t="s">
        <v>240</v>
      </c>
      <c r="D21" s="34" t="s">
        <v>241</v>
      </c>
      <c r="E21" s="34"/>
      <c r="F21" s="34" t="s">
        <v>157</v>
      </c>
      <c r="G21" s="34"/>
      <c r="H21" s="34" t="s">
        <v>151</v>
      </c>
      <c r="I21" s="34" t="s">
        <v>242</v>
      </c>
      <c r="J21" s="35" t="s">
        <v>159</v>
      </c>
      <c r="K21" s="35"/>
    </row>
    <row r="22" spans="1:11" ht="60" customHeight="1">
      <c r="A22" s="33" t="s">
        <v>93</v>
      </c>
      <c r="B22" s="34" t="s">
        <v>243</v>
      </c>
      <c r="C22" s="34" t="s">
        <v>244</v>
      </c>
      <c r="D22" s="34" t="s">
        <v>245</v>
      </c>
      <c r="E22" s="34" t="s">
        <v>246</v>
      </c>
      <c r="F22" s="34" t="s">
        <v>223</v>
      </c>
      <c r="G22" s="34"/>
      <c r="H22" s="34" t="s">
        <v>151</v>
      </c>
      <c r="I22" s="34" t="s">
        <v>247</v>
      </c>
      <c r="J22" s="35" t="s">
        <v>225</v>
      </c>
      <c r="K22" s="35" t="s">
        <v>248</v>
      </c>
    </row>
    <row r="23" spans="1:11" ht="60" customHeight="1">
      <c r="A23" s="33" t="s">
        <v>93</v>
      </c>
      <c r="B23" s="34" t="s">
        <v>249</v>
      </c>
      <c r="C23" s="34" t="s">
        <v>250</v>
      </c>
      <c r="D23" s="34" t="s">
        <v>251</v>
      </c>
      <c r="E23" s="34"/>
      <c r="F23" s="34" t="s">
        <v>252</v>
      </c>
      <c r="G23" s="34"/>
      <c r="H23" s="34" t="s">
        <v>151</v>
      </c>
      <c r="I23" s="34" t="s">
        <v>253</v>
      </c>
      <c r="J23" s="35" t="s">
        <v>254</v>
      </c>
      <c r="K23" s="35"/>
    </row>
    <row r="24" spans="1:11" ht="60" customHeight="1">
      <c r="A24" s="33" t="s">
        <v>93</v>
      </c>
      <c r="B24" s="34" t="s">
        <v>255</v>
      </c>
      <c r="C24" s="34" t="s">
        <v>256</v>
      </c>
      <c r="D24" s="34" t="s">
        <v>257</v>
      </c>
      <c r="E24" s="34" t="s">
        <v>258</v>
      </c>
      <c r="F24" s="34" t="s">
        <v>259</v>
      </c>
      <c r="G24" s="34"/>
      <c r="H24" s="34" t="s">
        <v>151</v>
      </c>
      <c r="I24" s="34" t="s">
        <v>260</v>
      </c>
      <c r="J24" s="35" t="s">
        <v>261</v>
      </c>
      <c r="K24" s="35" t="s">
        <v>262</v>
      </c>
    </row>
    <row r="25" spans="1:11" ht="60" customHeight="1">
      <c r="A25" s="33" t="s">
        <v>93</v>
      </c>
      <c r="B25" s="34" t="s">
        <v>263</v>
      </c>
      <c r="C25" s="34" t="s">
        <v>264</v>
      </c>
      <c r="D25" s="34" t="s">
        <v>265</v>
      </c>
      <c r="E25" s="34"/>
      <c r="F25" s="34" t="s">
        <v>266</v>
      </c>
      <c r="G25" s="34"/>
      <c r="H25" s="34" t="s">
        <v>151</v>
      </c>
      <c r="I25" s="34" t="s">
        <v>267</v>
      </c>
      <c r="J25" s="35" t="s">
        <v>268</v>
      </c>
      <c r="K25" s="35"/>
    </row>
    <row r="26" spans="1:11" ht="60" customHeight="1">
      <c r="A26" s="33" t="s">
        <v>93</v>
      </c>
      <c r="B26" s="34" t="s">
        <v>269</v>
      </c>
      <c r="C26" s="34" t="s">
        <v>270</v>
      </c>
      <c r="D26" s="34" t="s">
        <v>271</v>
      </c>
      <c r="E26" s="34" t="s">
        <v>272</v>
      </c>
      <c r="F26" s="34" t="s">
        <v>273</v>
      </c>
      <c r="G26" s="34"/>
      <c r="H26" s="34" t="s">
        <v>151</v>
      </c>
      <c r="I26" s="34" t="s">
        <v>274</v>
      </c>
      <c r="J26" s="35" t="s">
        <v>275</v>
      </c>
      <c r="K26" s="35" t="s">
        <v>276</v>
      </c>
    </row>
    <row r="27" spans="1:11" ht="60" customHeight="1">
      <c r="A27" s="33" t="s">
        <v>93</v>
      </c>
      <c r="B27" s="34" t="s">
        <v>277</v>
      </c>
      <c r="C27" s="34" t="s">
        <v>278</v>
      </c>
      <c r="D27" s="34" t="s">
        <v>279</v>
      </c>
      <c r="E27" s="34"/>
      <c r="F27" s="34" t="s">
        <v>157</v>
      </c>
      <c r="G27" s="34"/>
      <c r="H27" s="34" t="s">
        <v>151</v>
      </c>
      <c r="I27" s="34" t="s">
        <v>280</v>
      </c>
      <c r="J27" s="35" t="s">
        <v>159</v>
      </c>
      <c r="K27" s="35"/>
    </row>
    <row r="28" spans="1:11" ht="60" customHeight="1">
      <c r="A28" s="33" t="s">
        <v>93</v>
      </c>
      <c r="B28" s="34" t="s">
        <v>281</v>
      </c>
      <c r="C28" s="34" t="s">
        <v>282</v>
      </c>
      <c r="D28" s="34" t="s">
        <v>283</v>
      </c>
      <c r="E28" s="34" t="s">
        <v>284</v>
      </c>
      <c r="F28" s="34" t="s">
        <v>150</v>
      </c>
      <c r="G28" s="34"/>
      <c r="H28" s="34" t="s">
        <v>151</v>
      </c>
      <c r="I28" s="34">
        <v>71</v>
      </c>
      <c r="J28" s="35" t="s">
        <v>285</v>
      </c>
      <c r="K28" s="35" t="s">
        <v>286</v>
      </c>
    </row>
    <row r="29" spans="1:11" ht="60" customHeight="1">
      <c r="A29" s="33" t="s">
        <v>93</v>
      </c>
      <c r="B29" s="34" t="s">
        <v>287</v>
      </c>
      <c r="C29" s="34" t="s">
        <v>288</v>
      </c>
      <c r="D29" s="34" t="s">
        <v>289</v>
      </c>
      <c r="E29" s="34"/>
      <c r="F29" s="34" t="s">
        <v>290</v>
      </c>
      <c r="G29" s="34"/>
      <c r="H29" s="34" t="s">
        <v>151</v>
      </c>
      <c r="I29" s="34" t="s">
        <v>291</v>
      </c>
      <c r="J29" s="35" t="s">
        <v>292</v>
      </c>
      <c r="K29" s="35"/>
    </row>
    <row r="30" spans="1:11" ht="60" customHeight="1">
      <c r="A30" s="33" t="s">
        <v>93</v>
      </c>
      <c r="B30" s="34" t="s">
        <v>293</v>
      </c>
      <c r="C30" s="34" t="s">
        <v>294</v>
      </c>
      <c r="D30" s="34" t="s">
        <v>295</v>
      </c>
      <c r="E30" s="34" t="s">
        <v>296</v>
      </c>
      <c r="F30" s="34" t="s">
        <v>297</v>
      </c>
      <c r="G30" s="34"/>
      <c r="H30" s="34" t="s">
        <v>151</v>
      </c>
      <c r="I30" s="34">
        <v>12.026</v>
      </c>
      <c r="J30" s="35" t="s">
        <v>298</v>
      </c>
      <c r="K30" s="35" t="s">
        <v>299</v>
      </c>
    </row>
    <row r="31" spans="1:11" ht="60" customHeight="1">
      <c r="A31" s="33" t="s">
        <v>93</v>
      </c>
      <c r="B31" s="34" t="s">
        <v>300</v>
      </c>
      <c r="C31" s="34" t="s">
        <v>301</v>
      </c>
      <c r="D31" s="34" t="s">
        <v>302</v>
      </c>
      <c r="E31" s="34"/>
      <c r="F31" s="34" t="s">
        <v>194</v>
      </c>
      <c r="G31" s="34"/>
      <c r="H31" s="34" t="s">
        <v>151</v>
      </c>
      <c r="I31" s="34" t="s">
        <v>303</v>
      </c>
      <c r="J31" s="35" t="s">
        <v>196</v>
      </c>
      <c r="K31" s="35"/>
    </row>
    <row r="32" spans="1:11" ht="60" customHeight="1">
      <c r="A32" s="33" t="s">
        <v>93</v>
      </c>
      <c r="B32" s="34" t="s">
        <v>304</v>
      </c>
      <c r="C32" s="34" t="s">
        <v>305</v>
      </c>
      <c r="D32" s="34" t="s">
        <v>306</v>
      </c>
      <c r="E32" s="34" t="s">
        <v>307</v>
      </c>
      <c r="F32" s="34" t="s">
        <v>223</v>
      </c>
      <c r="G32" s="34"/>
      <c r="H32" s="34" t="s">
        <v>151</v>
      </c>
      <c r="I32" s="34" t="s">
        <v>308</v>
      </c>
      <c r="J32" s="35" t="s">
        <v>225</v>
      </c>
      <c r="K32" s="35" t="s">
        <v>309</v>
      </c>
    </row>
    <row r="33" spans="1:11" ht="60" customHeight="1">
      <c r="A33" s="33" t="s">
        <v>93</v>
      </c>
      <c r="B33" s="34" t="s">
        <v>310</v>
      </c>
      <c r="C33" s="34" t="s">
        <v>311</v>
      </c>
      <c r="D33" s="34" t="s">
        <v>312</v>
      </c>
      <c r="E33" s="34"/>
      <c r="F33" s="34" t="s">
        <v>313</v>
      </c>
      <c r="G33" s="34"/>
      <c r="H33" s="34" t="s">
        <v>151</v>
      </c>
      <c r="I33" s="34" t="s">
        <v>314</v>
      </c>
      <c r="J33" s="35" t="s">
        <v>315</v>
      </c>
      <c r="K33" s="35"/>
    </row>
    <row r="34" spans="1:11" ht="60" customHeight="1">
      <c r="A34" s="33" t="s">
        <v>93</v>
      </c>
      <c r="B34" s="34" t="s">
        <v>316</v>
      </c>
      <c r="C34" s="34" t="s">
        <v>317</v>
      </c>
      <c r="D34" s="34" t="s">
        <v>318</v>
      </c>
      <c r="E34" s="34" t="s">
        <v>319</v>
      </c>
      <c r="F34" s="34" t="s">
        <v>150</v>
      </c>
      <c r="G34" s="34"/>
      <c r="H34" s="34" t="s">
        <v>151</v>
      </c>
      <c r="I34" s="34">
        <v>1</v>
      </c>
      <c r="J34" s="35" t="s">
        <v>320</v>
      </c>
      <c r="K34" s="35" t="s">
        <v>321</v>
      </c>
    </row>
    <row r="35" spans="1:11" ht="60" customHeight="1">
      <c r="A35" s="33" t="s">
        <v>93</v>
      </c>
      <c r="B35" s="34" t="s">
        <v>322</v>
      </c>
      <c r="C35" s="34" t="s">
        <v>323</v>
      </c>
      <c r="D35" s="34" t="s">
        <v>324</v>
      </c>
      <c r="E35" s="34"/>
      <c r="F35" s="34" t="s">
        <v>157</v>
      </c>
      <c r="G35" s="34"/>
      <c r="H35" s="34" t="s">
        <v>151</v>
      </c>
      <c r="I35" s="34" t="s">
        <v>325</v>
      </c>
      <c r="J35" s="35" t="s">
        <v>159</v>
      </c>
      <c r="K35" s="35"/>
    </row>
    <row r="36" spans="1:11" ht="60" customHeight="1">
      <c r="A36" s="33" t="s">
        <v>93</v>
      </c>
      <c r="B36" s="34" t="s">
        <v>326</v>
      </c>
      <c r="C36" s="34" t="s">
        <v>327</v>
      </c>
      <c r="D36" s="34" t="s">
        <v>328</v>
      </c>
      <c r="E36" s="34" t="s">
        <v>329</v>
      </c>
      <c r="F36" s="34" t="s">
        <v>290</v>
      </c>
      <c r="G36" s="34"/>
      <c r="H36" s="34" t="s">
        <v>151</v>
      </c>
      <c r="I36" s="34" t="s">
        <v>330</v>
      </c>
      <c r="J36" s="35" t="s">
        <v>292</v>
      </c>
      <c r="K36" s="35" t="s">
        <v>331</v>
      </c>
    </row>
    <row r="37" spans="1:11" ht="60" customHeight="1">
      <c r="A37" s="33" t="s">
        <v>93</v>
      </c>
      <c r="B37" s="34" t="s">
        <v>332</v>
      </c>
      <c r="C37" s="34" t="s">
        <v>333</v>
      </c>
      <c r="D37" s="34" t="s">
        <v>334</v>
      </c>
      <c r="E37" s="34"/>
      <c r="F37" s="34" t="s">
        <v>335</v>
      </c>
      <c r="G37" s="34"/>
      <c r="H37" s="34" t="s">
        <v>151</v>
      </c>
      <c r="I37" s="34" t="s">
        <v>336</v>
      </c>
      <c r="J37" s="35" t="s">
        <v>337</v>
      </c>
      <c r="K37" s="35"/>
    </row>
    <row r="38" spans="1:11" ht="60" customHeight="1">
      <c r="A38" s="33" t="s">
        <v>93</v>
      </c>
      <c r="B38" s="34" t="s">
        <v>338</v>
      </c>
      <c r="C38" s="34" t="s">
        <v>339</v>
      </c>
      <c r="D38" s="34" t="s">
        <v>340</v>
      </c>
      <c r="E38" s="34" t="s">
        <v>341</v>
      </c>
      <c r="F38" s="34" t="s">
        <v>290</v>
      </c>
      <c r="G38" s="34"/>
      <c r="H38" s="34" t="s">
        <v>151</v>
      </c>
      <c r="I38" s="34">
        <v>3530369</v>
      </c>
      <c r="J38" s="35" t="s">
        <v>292</v>
      </c>
      <c r="K38" s="35" t="s">
        <v>342</v>
      </c>
    </row>
    <row r="39" spans="1:11" ht="60" customHeight="1">
      <c r="A39" s="33" t="s">
        <v>93</v>
      </c>
      <c r="B39" s="34" t="s">
        <v>343</v>
      </c>
      <c r="C39" s="34" t="s">
        <v>344</v>
      </c>
      <c r="D39" s="34" t="s">
        <v>345</v>
      </c>
      <c r="E39" s="34"/>
      <c r="F39" s="34" t="s">
        <v>335</v>
      </c>
      <c r="G39" s="34"/>
      <c r="H39" s="34" t="s">
        <v>151</v>
      </c>
      <c r="I39" s="34" t="s">
        <v>336</v>
      </c>
      <c r="J39" s="35" t="s">
        <v>337</v>
      </c>
      <c r="K39" s="35"/>
    </row>
    <row r="40" spans="1:11" ht="60" customHeight="1">
      <c r="A40" s="33" t="s">
        <v>93</v>
      </c>
      <c r="B40" s="34" t="s">
        <v>346</v>
      </c>
      <c r="C40" s="34" t="s">
        <v>347</v>
      </c>
      <c r="D40" s="34" t="s">
        <v>348</v>
      </c>
      <c r="E40" s="34" t="s">
        <v>349</v>
      </c>
      <c r="F40" s="34" t="s">
        <v>187</v>
      </c>
      <c r="G40" s="34"/>
      <c r="H40" s="34" t="s">
        <v>151</v>
      </c>
      <c r="I40" s="34">
        <v>71</v>
      </c>
      <c r="J40" s="35" t="s">
        <v>189</v>
      </c>
      <c r="K40" s="35" t="s">
        <v>350</v>
      </c>
    </row>
    <row r="41" spans="1:11" ht="60" customHeight="1">
      <c r="A41" s="33" t="s">
        <v>93</v>
      </c>
      <c r="B41" s="34" t="s">
        <v>351</v>
      </c>
      <c r="C41" s="34" t="s">
        <v>352</v>
      </c>
      <c r="D41" s="34" t="s">
        <v>353</v>
      </c>
      <c r="E41" s="34"/>
      <c r="F41" s="34" t="s">
        <v>290</v>
      </c>
      <c r="G41" s="34"/>
      <c r="H41" s="34" t="s">
        <v>151</v>
      </c>
      <c r="I41" s="34" t="s">
        <v>291</v>
      </c>
      <c r="J41" s="35" t="s">
        <v>292</v>
      </c>
      <c r="K41" s="35"/>
    </row>
    <row r="42" spans="1:11" ht="60" customHeight="1">
      <c r="A42" s="33" t="s">
        <v>93</v>
      </c>
      <c r="B42" s="34" t="s">
        <v>354</v>
      </c>
      <c r="C42" s="34" t="s">
        <v>355</v>
      </c>
      <c r="D42" s="34" t="s">
        <v>356</v>
      </c>
      <c r="E42" s="34" t="s">
        <v>357</v>
      </c>
      <c r="F42" s="34" t="s">
        <v>223</v>
      </c>
      <c r="G42" s="34"/>
      <c r="H42" s="34" t="s">
        <v>151</v>
      </c>
      <c r="I42" s="34" t="s">
        <v>358</v>
      </c>
      <c r="J42" s="35" t="s">
        <v>225</v>
      </c>
      <c r="K42" s="35" t="s">
        <v>359</v>
      </c>
    </row>
    <row r="43" spans="1:11" ht="60" customHeight="1">
      <c r="A43" s="33" t="s">
        <v>93</v>
      </c>
      <c r="B43" s="34" t="s">
        <v>360</v>
      </c>
      <c r="C43" s="34" t="s">
        <v>361</v>
      </c>
      <c r="D43" s="34" t="s">
        <v>362</v>
      </c>
      <c r="E43" s="34"/>
      <c r="F43" s="34" t="s">
        <v>157</v>
      </c>
      <c r="G43" s="34"/>
      <c r="H43" s="34" t="s">
        <v>151</v>
      </c>
      <c r="I43" s="34" t="s">
        <v>217</v>
      </c>
      <c r="J43" s="35" t="s">
        <v>159</v>
      </c>
      <c r="K43" s="35"/>
    </row>
    <row r="44" spans="1:11" ht="60" customHeight="1">
      <c r="A44" s="33" t="s">
        <v>93</v>
      </c>
      <c r="B44" s="34" t="s">
        <v>363</v>
      </c>
      <c r="C44" s="34" t="s">
        <v>364</v>
      </c>
      <c r="D44" s="34" t="s">
        <v>365</v>
      </c>
      <c r="E44" s="34" t="s">
        <v>366</v>
      </c>
      <c r="F44" s="34" t="s">
        <v>223</v>
      </c>
      <c r="G44" s="34"/>
      <c r="H44" s="34" t="s">
        <v>151</v>
      </c>
      <c r="I44" s="34">
        <v>714</v>
      </c>
      <c r="J44" s="35" t="s">
        <v>225</v>
      </c>
      <c r="K44" s="35" t="s">
        <v>367</v>
      </c>
    </row>
    <row r="45" spans="1:11" ht="60" customHeight="1">
      <c r="A45" s="33" t="s">
        <v>93</v>
      </c>
      <c r="B45" s="34" t="s">
        <v>368</v>
      </c>
      <c r="C45" s="34" t="s">
        <v>369</v>
      </c>
      <c r="D45" s="34" t="s">
        <v>370</v>
      </c>
      <c r="E45" s="34"/>
      <c r="F45" s="34" t="s">
        <v>157</v>
      </c>
      <c r="G45" s="34"/>
      <c r="H45" s="34" t="s">
        <v>151</v>
      </c>
      <c r="I45" s="34" t="s">
        <v>230</v>
      </c>
      <c r="J45" s="35" t="s">
        <v>159</v>
      </c>
      <c r="K45" s="35"/>
    </row>
    <row r="46" spans="1:11" ht="60" customHeight="1">
      <c r="A46" s="33" t="s">
        <v>93</v>
      </c>
      <c r="B46" s="34" t="s">
        <v>371</v>
      </c>
      <c r="C46" s="34" t="s">
        <v>372</v>
      </c>
      <c r="D46" s="34" t="s">
        <v>373</v>
      </c>
      <c r="E46" s="34" t="s">
        <v>374</v>
      </c>
      <c r="F46" s="34" t="s">
        <v>223</v>
      </c>
      <c r="G46" s="34"/>
      <c r="H46" s="34" t="s">
        <v>151</v>
      </c>
      <c r="I46" s="34">
        <v>201</v>
      </c>
      <c r="J46" s="35" t="s">
        <v>225</v>
      </c>
      <c r="K46" s="35" t="s">
        <v>375</v>
      </c>
    </row>
    <row r="47" spans="1:11" ht="60" customHeight="1">
      <c r="A47" s="33" t="s">
        <v>93</v>
      </c>
      <c r="B47" s="34" t="s">
        <v>376</v>
      </c>
      <c r="C47" s="34" t="s">
        <v>377</v>
      </c>
      <c r="D47" s="34" t="s">
        <v>378</v>
      </c>
      <c r="E47" s="34"/>
      <c r="F47" s="34" t="s">
        <v>157</v>
      </c>
      <c r="G47" s="34"/>
      <c r="H47" s="34" t="s">
        <v>151</v>
      </c>
      <c r="I47" s="34" t="s">
        <v>379</v>
      </c>
      <c r="J47" s="35" t="s">
        <v>159</v>
      </c>
      <c r="K47" s="35"/>
    </row>
    <row r="48" spans="1:11" ht="60" customHeight="1">
      <c r="A48" s="33" t="s">
        <v>93</v>
      </c>
      <c r="B48" s="34" t="s">
        <v>380</v>
      </c>
      <c r="C48" s="34" t="s">
        <v>381</v>
      </c>
      <c r="D48" s="34" t="s">
        <v>382</v>
      </c>
      <c r="E48" s="34" t="s">
        <v>383</v>
      </c>
      <c r="F48" s="34" t="s">
        <v>259</v>
      </c>
      <c r="G48" s="34"/>
      <c r="H48" s="34" t="s">
        <v>151</v>
      </c>
      <c r="I48" s="34" t="s">
        <v>384</v>
      </c>
      <c r="J48" s="35" t="s">
        <v>261</v>
      </c>
      <c r="K48" s="35" t="s">
        <v>385</v>
      </c>
    </row>
    <row r="49" spans="1:11" ht="60" customHeight="1">
      <c r="A49" s="33" t="s">
        <v>93</v>
      </c>
      <c r="B49" s="34" t="s">
        <v>386</v>
      </c>
      <c r="C49" s="34" t="s">
        <v>387</v>
      </c>
      <c r="D49" s="34" t="s">
        <v>388</v>
      </c>
      <c r="E49" s="34"/>
      <c r="F49" s="34" t="s">
        <v>157</v>
      </c>
      <c r="G49" s="34"/>
      <c r="H49" s="34" t="s">
        <v>151</v>
      </c>
      <c r="I49" s="34" t="s">
        <v>242</v>
      </c>
      <c r="J49" s="35" t="s">
        <v>159</v>
      </c>
      <c r="K49" s="35"/>
    </row>
    <row r="50" spans="1:11" ht="60" customHeight="1">
      <c r="A50" s="33" t="s">
        <v>93</v>
      </c>
      <c r="B50" s="34" t="s">
        <v>389</v>
      </c>
      <c r="C50" s="34" t="s">
        <v>390</v>
      </c>
      <c r="D50" s="34" t="s">
        <v>391</v>
      </c>
      <c r="E50" s="34" t="s">
        <v>392</v>
      </c>
      <c r="F50" s="34" t="s">
        <v>290</v>
      </c>
      <c r="G50" s="34"/>
      <c r="H50" s="34" t="s">
        <v>151</v>
      </c>
      <c r="I50" s="34">
        <v>730525</v>
      </c>
      <c r="J50" s="35" t="s">
        <v>292</v>
      </c>
      <c r="K50" s="35" t="s">
        <v>393</v>
      </c>
    </row>
    <row r="51" spans="1:11" ht="60" customHeight="1">
      <c r="A51" s="33" t="s">
        <v>93</v>
      </c>
      <c r="B51" s="34" t="s">
        <v>394</v>
      </c>
      <c r="C51" s="34" t="s">
        <v>395</v>
      </c>
      <c r="D51" s="34" t="s">
        <v>396</v>
      </c>
      <c r="E51" s="34"/>
      <c r="F51" s="34" t="s">
        <v>397</v>
      </c>
      <c r="G51" s="34"/>
      <c r="H51" s="34" t="s">
        <v>151</v>
      </c>
      <c r="I51" s="34" t="s">
        <v>398</v>
      </c>
      <c r="J51" s="35" t="s">
        <v>399</v>
      </c>
      <c r="K51" s="35"/>
    </row>
    <row r="52" spans="1:11" ht="60" customHeight="1">
      <c r="A52" s="33" t="s">
        <v>93</v>
      </c>
      <c r="B52" s="34" t="s">
        <v>400</v>
      </c>
      <c r="C52" s="34" t="s">
        <v>401</v>
      </c>
      <c r="D52" s="34" t="s">
        <v>400</v>
      </c>
      <c r="E52" s="34" t="s">
        <v>402</v>
      </c>
      <c r="F52" s="34" t="s">
        <v>403</v>
      </c>
      <c r="G52" s="34"/>
      <c r="H52" s="34" t="s">
        <v>151</v>
      </c>
      <c r="I52" s="34" t="s">
        <v>404</v>
      </c>
      <c r="J52" s="35" t="s">
        <v>405</v>
      </c>
      <c r="K52" s="35" t="s">
        <v>406</v>
      </c>
    </row>
    <row r="53" spans="1:11" ht="60" customHeight="1">
      <c r="A53" s="33" t="s">
        <v>93</v>
      </c>
      <c r="B53" s="34" t="s">
        <v>407</v>
      </c>
      <c r="C53" s="34" t="s">
        <v>408</v>
      </c>
      <c r="D53" s="34" t="s">
        <v>409</v>
      </c>
      <c r="E53" s="34" t="s">
        <v>410</v>
      </c>
      <c r="F53" s="34" t="s">
        <v>235</v>
      </c>
      <c r="G53" s="34"/>
      <c r="H53" s="34" t="s">
        <v>151</v>
      </c>
      <c r="I53" s="34">
        <v>70630</v>
      </c>
      <c r="J53" s="35" t="s">
        <v>237</v>
      </c>
      <c r="K53" s="35" t="s">
        <v>411</v>
      </c>
    </row>
    <row r="54" spans="1:11" ht="60" customHeight="1">
      <c r="A54" s="33" t="s">
        <v>93</v>
      </c>
      <c r="B54" s="34" t="s">
        <v>412</v>
      </c>
      <c r="C54" s="34" t="s">
        <v>413</v>
      </c>
      <c r="D54" s="34" t="s">
        <v>414</v>
      </c>
      <c r="E54" s="34"/>
      <c r="F54" s="34" t="s">
        <v>157</v>
      </c>
      <c r="G54" s="34"/>
      <c r="H54" s="34" t="s">
        <v>151</v>
      </c>
      <c r="I54" s="34" t="s">
        <v>415</v>
      </c>
      <c r="J54" s="35" t="s">
        <v>159</v>
      </c>
      <c r="K54" s="35"/>
    </row>
    <row r="55" spans="1:11" ht="60" customHeight="1">
      <c r="A55" s="33" t="s">
        <v>93</v>
      </c>
      <c r="B55" s="34" t="s">
        <v>416</v>
      </c>
      <c r="C55" s="34" t="s">
        <v>417</v>
      </c>
      <c r="D55" s="34" t="s">
        <v>416</v>
      </c>
      <c r="E55" s="34" t="s">
        <v>418</v>
      </c>
      <c r="F55" s="34" t="s">
        <v>259</v>
      </c>
      <c r="G55" s="34"/>
      <c r="H55" s="34" t="s">
        <v>151</v>
      </c>
      <c r="I55" s="34" t="s">
        <v>419</v>
      </c>
      <c r="J55" s="35" t="s">
        <v>261</v>
      </c>
      <c r="K55" s="35" t="s">
        <v>420</v>
      </c>
    </row>
    <row r="56" spans="1:11" ht="60" customHeight="1">
      <c r="A56" s="33" t="s">
        <v>93</v>
      </c>
      <c r="B56" s="34" t="s">
        <v>421</v>
      </c>
      <c r="C56" s="34" t="s">
        <v>422</v>
      </c>
      <c r="D56" s="34" t="s">
        <v>423</v>
      </c>
      <c r="E56" s="34"/>
      <c r="F56" s="34" t="s">
        <v>157</v>
      </c>
      <c r="G56" s="34"/>
      <c r="H56" s="34" t="s">
        <v>151</v>
      </c>
      <c r="I56" s="34" t="s">
        <v>424</v>
      </c>
      <c r="J56" s="35" t="s">
        <v>159</v>
      </c>
      <c r="K56" s="35"/>
    </row>
    <row r="57" spans="1:11" ht="60" customHeight="1">
      <c r="A57" s="33" t="s">
        <v>93</v>
      </c>
      <c r="B57" s="34" t="s">
        <v>425</v>
      </c>
      <c r="C57" s="34" t="s">
        <v>426</v>
      </c>
      <c r="D57" s="34" t="s">
        <v>425</v>
      </c>
      <c r="E57" s="34" t="s">
        <v>427</v>
      </c>
      <c r="F57" s="34" t="s">
        <v>403</v>
      </c>
      <c r="G57" s="34"/>
      <c r="H57" s="34" t="s">
        <v>151</v>
      </c>
      <c r="I57" s="34" t="s">
        <v>428</v>
      </c>
      <c r="J57" s="35" t="s">
        <v>405</v>
      </c>
      <c r="K57" s="35" t="s">
        <v>429</v>
      </c>
    </row>
    <row r="58" spans="1:11" ht="60" customHeight="1">
      <c r="A58" s="33" t="s">
        <v>93</v>
      </c>
      <c r="B58" s="34" t="s">
        <v>430</v>
      </c>
      <c r="C58" s="34" t="s">
        <v>431</v>
      </c>
      <c r="D58" s="34" t="s">
        <v>432</v>
      </c>
      <c r="E58" s="34" t="s">
        <v>433</v>
      </c>
      <c r="F58" s="34" t="s">
        <v>187</v>
      </c>
      <c r="G58" s="34"/>
      <c r="H58" s="34" t="s">
        <v>151</v>
      </c>
      <c r="I58" s="34">
        <v>70</v>
      </c>
      <c r="J58" s="35" t="s">
        <v>189</v>
      </c>
      <c r="K58" s="35" t="s">
        <v>434</v>
      </c>
    </row>
    <row r="59" spans="1:11" ht="60" customHeight="1">
      <c r="A59" s="33" t="s">
        <v>93</v>
      </c>
      <c r="B59" s="34" t="s">
        <v>435</v>
      </c>
      <c r="C59" s="34" t="s">
        <v>436</v>
      </c>
      <c r="D59" s="34" t="s">
        <v>437</v>
      </c>
      <c r="E59" s="34"/>
      <c r="F59" s="34" t="s">
        <v>205</v>
      </c>
      <c r="G59" s="34"/>
      <c r="H59" s="34" t="s">
        <v>151</v>
      </c>
      <c r="I59" s="34" t="s">
        <v>158</v>
      </c>
      <c r="J59" s="35" t="s">
        <v>206</v>
      </c>
      <c r="K59" s="35"/>
    </row>
    <row r="60" spans="1:11" ht="60" customHeight="1">
      <c r="A60" s="33" t="s">
        <v>93</v>
      </c>
      <c r="B60" s="34" t="s">
        <v>438</v>
      </c>
      <c r="C60" s="34" t="s">
        <v>439</v>
      </c>
      <c r="D60" s="34" t="s">
        <v>440</v>
      </c>
      <c r="E60" s="34" t="s">
        <v>441</v>
      </c>
      <c r="F60" s="34" t="s">
        <v>187</v>
      </c>
      <c r="G60" s="34"/>
      <c r="H60" s="34" t="s">
        <v>151</v>
      </c>
      <c r="I60" s="34">
        <v>4</v>
      </c>
      <c r="J60" s="35" t="s">
        <v>189</v>
      </c>
      <c r="K60" s="35" t="s">
        <v>442</v>
      </c>
    </row>
    <row r="61" spans="1:11" ht="60" customHeight="1">
      <c r="A61" s="33" t="s">
        <v>93</v>
      </c>
      <c r="B61" s="34" t="s">
        <v>443</v>
      </c>
      <c r="C61" s="34" t="s">
        <v>444</v>
      </c>
      <c r="D61" s="34" t="s">
        <v>445</v>
      </c>
      <c r="E61" s="34"/>
      <c r="F61" s="34" t="s">
        <v>157</v>
      </c>
      <c r="G61" s="34"/>
      <c r="H61" s="34" t="s">
        <v>151</v>
      </c>
      <c r="I61" s="34" t="s">
        <v>446</v>
      </c>
      <c r="J61" s="35" t="s">
        <v>159</v>
      </c>
      <c r="K61" s="35"/>
    </row>
    <row r="62" spans="1:11" ht="60" customHeight="1">
      <c r="A62" s="33" t="s">
        <v>93</v>
      </c>
      <c r="B62" s="34" t="s">
        <v>447</v>
      </c>
      <c r="C62" s="34" t="s">
        <v>448</v>
      </c>
      <c r="D62" s="34" t="s">
        <v>449</v>
      </c>
      <c r="E62" s="34" t="s">
        <v>450</v>
      </c>
      <c r="F62" s="34" t="s">
        <v>223</v>
      </c>
      <c r="G62" s="34"/>
      <c r="H62" s="34" t="s">
        <v>151</v>
      </c>
      <c r="I62" s="34" t="s">
        <v>451</v>
      </c>
      <c r="J62" s="35" t="s">
        <v>225</v>
      </c>
      <c r="K62" s="35" t="s">
        <v>452</v>
      </c>
    </row>
    <row r="63" spans="1:11" ht="60" customHeight="1">
      <c r="A63" s="33" t="s">
        <v>93</v>
      </c>
      <c r="B63" s="34" t="s">
        <v>453</v>
      </c>
      <c r="C63" s="34" t="s">
        <v>454</v>
      </c>
      <c r="D63" s="34" t="s">
        <v>455</v>
      </c>
      <c r="E63" s="34"/>
      <c r="F63" s="34" t="s">
        <v>157</v>
      </c>
      <c r="G63" s="34"/>
      <c r="H63" s="34" t="s">
        <v>151</v>
      </c>
      <c r="I63" s="34" t="s">
        <v>456</v>
      </c>
      <c r="J63" s="35" t="s">
        <v>159</v>
      </c>
      <c r="K63" s="35"/>
    </row>
    <row r="64" spans="1:11" ht="60" customHeight="1">
      <c r="A64" s="33" t="s">
        <v>93</v>
      </c>
      <c r="B64" s="34" t="s">
        <v>457</v>
      </c>
      <c r="C64" s="34" t="s">
        <v>458</v>
      </c>
      <c r="D64" s="34" t="s">
        <v>459</v>
      </c>
      <c r="E64" s="34" t="s">
        <v>460</v>
      </c>
      <c r="F64" s="34" t="s">
        <v>223</v>
      </c>
      <c r="G64" s="34"/>
      <c r="H64" s="34" t="s">
        <v>151</v>
      </c>
      <c r="I64" s="34" t="s">
        <v>461</v>
      </c>
      <c r="J64" s="35" t="s">
        <v>225</v>
      </c>
      <c r="K64" s="35" t="s">
        <v>462</v>
      </c>
    </row>
    <row r="65" spans="1:15" ht="60" customHeight="1">
      <c r="A65" s="33" t="s">
        <v>93</v>
      </c>
      <c r="B65" s="34" t="s">
        <v>463</v>
      </c>
      <c r="C65" s="34" t="s">
        <v>464</v>
      </c>
      <c r="D65" s="34" t="s">
        <v>465</v>
      </c>
      <c r="E65" s="34"/>
      <c r="F65" s="34" t="s">
        <v>157</v>
      </c>
      <c r="G65" s="34"/>
      <c r="H65" s="34" t="s">
        <v>151</v>
      </c>
      <c r="I65" s="34" t="s">
        <v>466</v>
      </c>
      <c r="J65" s="35" t="s">
        <v>159</v>
      </c>
      <c r="K65" s="35"/>
    </row>
    <row r="66" spans="1:15" ht="60" customHeight="1">
      <c r="A66" s="33" t="s">
        <v>93</v>
      </c>
      <c r="B66" s="34" t="s">
        <v>467</v>
      </c>
      <c r="C66" s="34" t="s">
        <v>468</v>
      </c>
      <c r="D66" s="34" t="s">
        <v>469</v>
      </c>
      <c r="E66" s="34" t="s">
        <v>470</v>
      </c>
      <c r="F66" s="34" t="s">
        <v>175</v>
      </c>
      <c r="G66" s="34"/>
      <c r="H66" s="34" t="s">
        <v>151</v>
      </c>
      <c r="I66" s="34" t="s">
        <v>23</v>
      </c>
      <c r="J66" s="35" t="s">
        <v>177</v>
      </c>
      <c r="K66" s="35" t="s">
        <v>471</v>
      </c>
    </row>
    <row r="67" spans="1:15" ht="60" customHeight="1">
      <c r="A67" s="33" t="s">
        <v>93</v>
      </c>
      <c r="B67" s="34" t="s">
        <v>472</v>
      </c>
      <c r="C67" s="34" t="s">
        <v>473</v>
      </c>
      <c r="D67" s="34" t="s">
        <v>474</v>
      </c>
      <c r="E67" s="34"/>
      <c r="F67" s="34" t="s">
        <v>157</v>
      </c>
      <c r="G67" s="34"/>
      <c r="H67" s="34" t="s">
        <v>151</v>
      </c>
      <c r="I67" s="34" t="s">
        <v>475</v>
      </c>
      <c r="J67" s="35" t="s">
        <v>159</v>
      </c>
      <c r="K67" s="35"/>
    </row>
    <row r="68" spans="1:15" ht="60" customHeight="1">
      <c r="A68" s="33" t="s">
        <v>93</v>
      </c>
      <c r="B68" s="34" t="s">
        <v>476</v>
      </c>
      <c r="C68" s="34" t="s">
        <v>477</v>
      </c>
      <c r="D68" s="34" t="s">
        <v>478</v>
      </c>
      <c r="E68" s="34" t="s">
        <v>479</v>
      </c>
      <c r="F68" s="34" t="s">
        <v>175</v>
      </c>
      <c r="G68" s="34"/>
      <c r="H68" s="34" t="s">
        <v>151</v>
      </c>
      <c r="I68" s="34" t="s">
        <v>23</v>
      </c>
      <c r="J68" s="35" t="s">
        <v>177</v>
      </c>
      <c r="K68" s="35" t="s">
        <v>480</v>
      </c>
    </row>
    <row r="69" spans="1:15" ht="60" customHeight="1">
      <c r="A69" s="33" t="s">
        <v>93</v>
      </c>
      <c r="B69" s="34" t="s">
        <v>481</v>
      </c>
      <c r="C69" s="34" t="s">
        <v>482</v>
      </c>
      <c r="D69" s="34" t="s">
        <v>483</v>
      </c>
      <c r="E69" s="34"/>
      <c r="F69" s="34" t="s">
        <v>157</v>
      </c>
      <c r="G69" s="34"/>
      <c r="H69" s="34" t="s">
        <v>151</v>
      </c>
      <c r="I69" s="34" t="s">
        <v>475</v>
      </c>
      <c r="J69" s="35" t="s">
        <v>159</v>
      </c>
      <c r="K69" s="35"/>
    </row>
    <row r="70" spans="1:15" ht="60" customHeight="1">
      <c r="A70" s="33" t="s">
        <v>93</v>
      </c>
      <c r="B70" s="34" t="s">
        <v>484</v>
      </c>
      <c r="C70" s="34" t="s">
        <v>485</v>
      </c>
      <c r="D70" s="34" t="s">
        <v>486</v>
      </c>
      <c r="E70" s="34" t="s">
        <v>487</v>
      </c>
      <c r="F70" s="34" t="s">
        <v>488</v>
      </c>
      <c r="G70" s="34"/>
      <c r="H70" s="34" t="s">
        <v>151</v>
      </c>
      <c r="I70" s="34" t="s">
        <v>489</v>
      </c>
      <c r="J70" s="35" t="s">
        <v>490</v>
      </c>
      <c r="K70" s="35" t="s">
        <v>491</v>
      </c>
      <c r="O70" s="46"/>
    </row>
    <row r="71" spans="1:15" ht="60" customHeight="1">
      <c r="A71" s="33" t="s">
        <v>93</v>
      </c>
      <c r="B71" s="34" t="s">
        <v>492</v>
      </c>
      <c r="C71" s="34" t="s">
        <v>493</v>
      </c>
      <c r="D71" s="34" t="s">
        <v>494</v>
      </c>
      <c r="E71" s="34"/>
      <c r="F71" s="34" t="s">
        <v>397</v>
      </c>
      <c r="G71" s="34"/>
      <c r="H71" s="34" t="s">
        <v>151</v>
      </c>
      <c r="I71" s="34" t="s">
        <v>495</v>
      </c>
      <c r="J71" s="35" t="s">
        <v>399</v>
      </c>
      <c r="K71" s="35"/>
    </row>
    <row r="72" spans="1:15" ht="60" customHeight="1">
      <c r="A72" s="33" t="s">
        <v>93</v>
      </c>
      <c r="B72" s="34" t="s">
        <v>496</v>
      </c>
      <c r="C72" s="34" t="s">
        <v>497</v>
      </c>
      <c r="D72" s="34" t="s">
        <v>498</v>
      </c>
      <c r="E72" s="34" t="s">
        <v>499</v>
      </c>
      <c r="F72" s="34" t="s">
        <v>187</v>
      </c>
      <c r="G72" s="34"/>
      <c r="H72" s="34" t="s">
        <v>151</v>
      </c>
      <c r="I72" s="34" t="s">
        <v>500</v>
      </c>
      <c r="J72" s="35" t="s">
        <v>189</v>
      </c>
      <c r="K72" s="35" t="s">
        <v>501</v>
      </c>
    </row>
    <row r="73" spans="1:15" ht="60" customHeight="1">
      <c r="A73" s="33" t="s">
        <v>93</v>
      </c>
      <c r="B73" s="34" t="s">
        <v>502</v>
      </c>
      <c r="C73" s="34" t="s">
        <v>503</v>
      </c>
      <c r="D73" s="34" t="s">
        <v>504</v>
      </c>
      <c r="E73" s="34"/>
      <c r="F73" s="34" t="s">
        <v>505</v>
      </c>
      <c r="G73" s="34"/>
      <c r="H73" s="34" t="s">
        <v>151</v>
      </c>
      <c r="I73" s="34" t="s">
        <v>506</v>
      </c>
      <c r="J73" s="35" t="s">
        <v>507</v>
      </c>
      <c r="K73" s="35"/>
    </row>
    <row r="74" spans="1:15" ht="60" customHeight="1">
      <c r="A74" s="33" t="s">
        <v>93</v>
      </c>
      <c r="B74" s="34" t="s">
        <v>508</v>
      </c>
      <c r="C74" s="34" t="s">
        <v>509</v>
      </c>
      <c r="D74" s="34" t="s">
        <v>510</v>
      </c>
      <c r="E74" s="34" t="s">
        <v>511</v>
      </c>
      <c r="F74" s="34" t="s">
        <v>187</v>
      </c>
      <c r="G74" s="34"/>
      <c r="H74" s="34" t="s">
        <v>151</v>
      </c>
      <c r="I74" s="34" t="s">
        <v>500</v>
      </c>
      <c r="J74" s="35" t="s">
        <v>189</v>
      </c>
      <c r="K74" s="35" t="s">
        <v>512</v>
      </c>
    </row>
    <row r="75" spans="1:15" ht="60" customHeight="1">
      <c r="A75" s="33" t="s">
        <v>93</v>
      </c>
      <c r="B75" s="34" t="s">
        <v>513</v>
      </c>
      <c r="C75" s="34" t="s">
        <v>514</v>
      </c>
      <c r="D75" s="34" t="s">
        <v>515</v>
      </c>
      <c r="E75" s="34"/>
      <c r="F75" s="34" t="s">
        <v>505</v>
      </c>
      <c r="G75" s="34"/>
      <c r="H75" s="34" t="s">
        <v>151</v>
      </c>
      <c r="I75" s="34" t="s">
        <v>506</v>
      </c>
      <c r="J75" s="35" t="s">
        <v>507</v>
      </c>
      <c r="K75" s="35"/>
    </row>
    <row r="76" spans="1:15" ht="60" customHeight="1">
      <c r="A76" s="33" t="s">
        <v>93</v>
      </c>
      <c r="B76" s="34" t="s">
        <v>516</v>
      </c>
      <c r="C76" s="34" t="s">
        <v>517</v>
      </c>
      <c r="D76" s="34" t="s">
        <v>518</v>
      </c>
      <c r="E76" s="34" t="s">
        <v>519</v>
      </c>
      <c r="F76" s="34" t="s">
        <v>273</v>
      </c>
      <c r="G76" s="34"/>
      <c r="H76" s="34" t="s">
        <v>151</v>
      </c>
      <c r="I76" s="34" t="s">
        <v>520</v>
      </c>
      <c r="J76" s="35" t="s">
        <v>275</v>
      </c>
      <c r="K76" s="35" t="s">
        <v>521</v>
      </c>
    </row>
    <row r="77" spans="1:15" ht="60" customHeight="1">
      <c r="A77" s="33" t="s">
        <v>93</v>
      </c>
      <c r="B77" s="34" t="s">
        <v>522</v>
      </c>
      <c r="C77" s="34" t="s">
        <v>523</v>
      </c>
      <c r="D77" s="34" t="s">
        <v>524</v>
      </c>
      <c r="E77" s="34"/>
      <c r="F77" s="34" t="s">
        <v>157</v>
      </c>
      <c r="G77" s="34"/>
      <c r="H77" s="34" t="s">
        <v>151</v>
      </c>
      <c r="I77" s="34" t="s">
        <v>525</v>
      </c>
      <c r="J77" s="35" t="s">
        <v>159</v>
      </c>
      <c r="K77" s="35"/>
    </row>
    <row r="78" spans="1:15" ht="60" customHeight="1">
      <c r="A78" s="33" t="s">
        <v>93</v>
      </c>
      <c r="B78" s="34" t="s">
        <v>526</v>
      </c>
      <c r="C78" s="34" t="s">
        <v>527</v>
      </c>
      <c r="D78" s="34" t="s">
        <v>528</v>
      </c>
      <c r="E78" s="34" t="s">
        <v>529</v>
      </c>
      <c r="F78" s="34" t="s">
        <v>175</v>
      </c>
      <c r="G78" s="34"/>
      <c r="H78" s="34" t="s">
        <v>151</v>
      </c>
      <c r="I78" s="34" t="s">
        <v>530</v>
      </c>
      <c r="J78" s="35" t="s">
        <v>177</v>
      </c>
      <c r="K78" s="35" t="s">
        <v>531</v>
      </c>
    </row>
    <row r="79" spans="1:15" ht="60" customHeight="1">
      <c r="A79" s="33" t="s">
        <v>93</v>
      </c>
      <c r="B79" s="34" t="s">
        <v>532</v>
      </c>
      <c r="C79" s="34" t="s">
        <v>533</v>
      </c>
      <c r="D79" s="34" t="s">
        <v>534</v>
      </c>
      <c r="E79" s="34"/>
      <c r="F79" s="34" t="s">
        <v>535</v>
      </c>
      <c r="G79" s="34"/>
      <c r="H79" s="34" t="s">
        <v>151</v>
      </c>
      <c r="I79" s="34" t="s">
        <v>536</v>
      </c>
      <c r="J79" s="35" t="s">
        <v>537</v>
      </c>
      <c r="K79" s="35"/>
    </row>
    <row r="80" spans="1:15" ht="60" customHeight="1">
      <c r="A80" s="33" t="s">
        <v>93</v>
      </c>
      <c r="B80" s="34" t="s">
        <v>538</v>
      </c>
      <c r="C80" s="34" t="s">
        <v>538</v>
      </c>
      <c r="D80" s="34" t="s">
        <v>539</v>
      </c>
      <c r="E80" s="34" t="s">
        <v>540</v>
      </c>
      <c r="F80" s="34" t="s">
        <v>187</v>
      </c>
      <c r="G80" s="34"/>
      <c r="H80" s="34" t="s">
        <v>151</v>
      </c>
      <c r="I80" s="34" t="s">
        <v>541</v>
      </c>
      <c r="J80" s="35" t="s">
        <v>189</v>
      </c>
      <c r="K80" s="35" t="s">
        <v>542</v>
      </c>
    </row>
    <row r="81" spans="1:11" ht="60" customHeight="1">
      <c r="A81" s="33" t="s">
        <v>93</v>
      </c>
      <c r="B81" s="34" t="s">
        <v>543</v>
      </c>
      <c r="C81" s="34" t="s">
        <v>543</v>
      </c>
      <c r="D81" s="34" t="s">
        <v>544</v>
      </c>
      <c r="E81" s="34"/>
      <c r="F81" s="34" t="s">
        <v>545</v>
      </c>
      <c r="G81" s="34"/>
      <c r="H81" s="34" t="s">
        <v>151</v>
      </c>
      <c r="I81" s="34" t="s">
        <v>415</v>
      </c>
      <c r="J81" s="35" t="s">
        <v>546</v>
      </c>
      <c r="K81" s="35"/>
    </row>
    <row r="82" spans="1:11" ht="60" customHeight="1">
      <c r="A82" s="33" t="s">
        <v>93</v>
      </c>
      <c r="B82" s="34" t="s">
        <v>547</v>
      </c>
      <c r="C82" s="34" t="s">
        <v>548</v>
      </c>
      <c r="D82" s="34" t="s">
        <v>549</v>
      </c>
      <c r="E82" s="34" t="s">
        <v>550</v>
      </c>
      <c r="F82" s="34" t="s">
        <v>259</v>
      </c>
      <c r="G82" s="34"/>
      <c r="H82" s="34" t="s">
        <v>151</v>
      </c>
      <c r="I82" s="34" t="s">
        <v>551</v>
      </c>
      <c r="J82" s="35" t="s">
        <v>261</v>
      </c>
      <c r="K82" s="35" t="s">
        <v>552</v>
      </c>
    </row>
    <row r="83" spans="1:11" ht="60" customHeight="1">
      <c r="A83" s="33" t="s">
        <v>93</v>
      </c>
      <c r="B83" s="34" t="s">
        <v>553</v>
      </c>
      <c r="C83" s="34" t="s">
        <v>554</v>
      </c>
      <c r="D83" s="34" t="s">
        <v>555</v>
      </c>
      <c r="E83" s="34"/>
      <c r="F83" s="34" t="s">
        <v>157</v>
      </c>
      <c r="G83" s="34"/>
      <c r="H83" s="34" t="s">
        <v>151</v>
      </c>
      <c r="I83" s="34" t="s">
        <v>556</v>
      </c>
      <c r="J83" s="35" t="s">
        <v>159</v>
      </c>
      <c r="K83" s="35"/>
    </row>
    <row r="84" spans="1:11" ht="60" customHeight="1">
      <c r="A84" s="33" t="s">
        <v>93</v>
      </c>
      <c r="B84" s="34" t="s">
        <v>557</v>
      </c>
      <c r="C84" s="34" t="s">
        <v>558</v>
      </c>
      <c r="D84" s="34" t="s">
        <v>559</v>
      </c>
      <c r="E84" s="34" t="s">
        <v>560</v>
      </c>
      <c r="F84" s="34" t="s">
        <v>290</v>
      </c>
      <c r="G84" s="34"/>
      <c r="H84" s="34" t="s">
        <v>151</v>
      </c>
      <c r="I84" s="34">
        <v>11532198</v>
      </c>
      <c r="J84" s="35" t="s">
        <v>292</v>
      </c>
      <c r="K84" s="35" t="s">
        <v>561</v>
      </c>
    </row>
    <row r="85" spans="1:11" ht="60" customHeight="1">
      <c r="A85" s="33" t="s">
        <v>93</v>
      </c>
      <c r="B85" s="34" t="s">
        <v>562</v>
      </c>
      <c r="C85" s="34" t="s">
        <v>563</v>
      </c>
      <c r="D85" s="34" t="s">
        <v>564</v>
      </c>
      <c r="E85" s="34"/>
      <c r="F85" s="34" t="s">
        <v>335</v>
      </c>
      <c r="G85" s="34"/>
      <c r="H85" s="34" t="s">
        <v>151</v>
      </c>
      <c r="I85" s="34" t="s">
        <v>565</v>
      </c>
      <c r="J85" s="35" t="s">
        <v>337</v>
      </c>
      <c r="K85" s="35"/>
    </row>
    <row r="86" spans="1:11" ht="60" customHeight="1">
      <c r="A86" s="33" t="s">
        <v>93</v>
      </c>
      <c r="B86" s="34" t="s">
        <v>566</v>
      </c>
      <c r="C86" s="34" t="s">
        <v>567</v>
      </c>
      <c r="D86" s="34" t="s">
        <v>568</v>
      </c>
      <c r="E86" s="34" t="s">
        <v>569</v>
      </c>
      <c r="F86" s="34" t="s">
        <v>273</v>
      </c>
      <c r="G86" s="34"/>
      <c r="H86" s="34" t="s">
        <v>151</v>
      </c>
      <c r="I86" s="34" t="s">
        <v>570</v>
      </c>
      <c r="J86" s="35" t="s">
        <v>275</v>
      </c>
      <c r="K86" s="35" t="s">
        <v>571</v>
      </c>
    </row>
    <row r="87" spans="1:11" ht="60" customHeight="1">
      <c r="A87" s="33" t="s">
        <v>93</v>
      </c>
      <c r="B87" s="34" t="s">
        <v>572</v>
      </c>
      <c r="C87" s="34" t="s">
        <v>573</v>
      </c>
      <c r="D87" s="34" t="s">
        <v>574</v>
      </c>
      <c r="E87" s="34"/>
      <c r="F87" s="34" t="s">
        <v>157</v>
      </c>
      <c r="G87" s="34"/>
      <c r="H87" s="34" t="s">
        <v>151</v>
      </c>
      <c r="I87" s="34" t="s">
        <v>575</v>
      </c>
      <c r="J87" s="35" t="s">
        <v>159</v>
      </c>
      <c r="K87" s="35"/>
    </row>
    <row r="88" spans="1:11" ht="60" customHeight="1">
      <c r="A88" s="33" t="s">
        <v>93</v>
      </c>
      <c r="B88" s="34" t="s">
        <v>576</v>
      </c>
      <c r="C88" s="34" t="s">
        <v>577</v>
      </c>
      <c r="D88" s="34" t="s">
        <v>578</v>
      </c>
      <c r="E88" s="34" t="s">
        <v>579</v>
      </c>
      <c r="F88" s="34" t="s">
        <v>290</v>
      </c>
      <c r="G88" s="34"/>
      <c r="H88" s="34" t="s">
        <v>151</v>
      </c>
      <c r="I88" s="34">
        <v>11532198</v>
      </c>
      <c r="J88" s="35" t="s">
        <v>292</v>
      </c>
      <c r="K88" s="35" t="s">
        <v>580</v>
      </c>
    </row>
    <row r="89" spans="1:11" ht="60" customHeight="1">
      <c r="A89" s="33" t="s">
        <v>93</v>
      </c>
      <c r="B89" s="34" t="s">
        <v>581</v>
      </c>
      <c r="C89" s="34" t="s">
        <v>582</v>
      </c>
      <c r="D89" s="34" t="s">
        <v>583</v>
      </c>
      <c r="E89" s="34"/>
      <c r="F89" s="34" t="s">
        <v>335</v>
      </c>
      <c r="G89" s="34"/>
      <c r="H89" s="34" t="s">
        <v>151</v>
      </c>
      <c r="I89" s="34" t="s">
        <v>565</v>
      </c>
      <c r="J89" s="35" t="s">
        <v>337</v>
      </c>
      <c r="K89" s="35"/>
    </row>
    <row r="90" spans="1:11" ht="60" customHeight="1">
      <c r="A90" s="33" t="s">
        <v>93</v>
      </c>
      <c r="B90" s="34" t="s">
        <v>584</v>
      </c>
      <c r="C90" s="34" t="s">
        <v>585</v>
      </c>
      <c r="D90" s="34" t="s">
        <v>586</v>
      </c>
      <c r="E90" s="34" t="s">
        <v>587</v>
      </c>
      <c r="F90" s="34" t="s">
        <v>273</v>
      </c>
      <c r="G90" s="34"/>
      <c r="H90" s="34" t="s">
        <v>151</v>
      </c>
      <c r="I90" s="34" t="s">
        <v>588</v>
      </c>
      <c r="J90" s="35" t="s">
        <v>275</v>
      </c>
      <c r="K90" s="35" t="s">
        <v>589</v>
      </c>
    </row>
    <row r="91" spans="1:11" ht="60" customHeight="1">
      <c r="A91" s="33" t="s">
        <v>93</v>
      </c>
      <c r="B91" s="34" t="s">
        <v>590</v>
      </c>
      <c r="C91" s="34" t="s">
        <v>591</v>
      </c>
      <c r="D91" s="34" t="s">
        <v>592</v>
      </c>
      <c r="E91" s="34"/>
      <c r="F91" s="34" t="s">
        <v>157</v>
      </c>
      <c r="G91" s="34"/>
      <c r="H91" s="34" t="s">
        <v>151</v>
      </c>
      <c r="I91" s="34" t="s">
        <v>575</v>
      </c>
      <c r="J91" s="35" t="s">
        <v>159</v>
      </c>
      <c r="K91" s="35"/>
    </row>
    <row r="92" spans="1:11" ht="60" customHeight="1">
      <c r="A92" s="33" t="s">
        <v>93</v>
      </c>
      <c r="B92" s="34" t="s">
        <v>593</v>
      </c>
      <c r="C92" s="34" t="s">
        <v>594</v>
      </c>
      <c r="D92" s="34" t="s">
        <v>595</v>
      </c>
      <c r="E92" s="34" t="s">
        <v>596</v>
      </c>
      <c r="F92" s="34" t="s">
        <v>223</v>
      </c>
      <c r="G92" s="34"/>
      <c r="H92" s="34" t="s">
        <v>151</v>
      </c>
      <c r="I92" s="34" t="s">
        <v>597</v>
      </c>
      <c r="J92" s="35" t="s">
        <v>225</v>
      </c>
      <c r="K92" s="35" t="s">
        <v>598</v>
      </c>
    </row>
    <row r="93" spans="1:11" ht="60" customHeight="1">
      <c r="A93" s="33" t="s">
        <v>93</v>
      </c>
      <c r="B93" s="34" t="s">
        <v>599</v>
      </c>
      <c r="C93" s="34" t="s">
        <v>600</v>
      </c>
      <c r="D93" s="34" t="s">
        <v>601</v>
      </c>
      <c r="E93" s="34"/>
      <c r="F93" s="34" t="s">
        <v>157</v>
      </c>
      <c r="G93" s="34"/>
      <c r="H93" s="34" t="s">
        <v>151</v>
      </c>
      <c r="I93" s="34" t="s">
        <v>602</v>
      </c>
      <c r="J93" s="35" t="s">
        <v>159</v>
      </c>
      <c r="K93" s="35"/>
    </row>
    <row r="94" spans="1:11" ht="24" customHeight="1">
      <c r="A94" s="33" t="s">
        <v>93</v>
      </c>
      <c r="B94" s="34" t="s">
        <v>603</v>
      </c>
      <c r="C94" s="34" t="s">
        <v>604</v>
      </c>
      <c r="D94" s="34" t="s">
        <v>605</v>
      </c>
      <c r="E94" s="34" t="s">
        <v>606</v>
      </c>
      <c r="F94" s="34" t="s">
        <v>223</v>
      </c>
      <c r="G94" s="34"/>
      <c r="H94" s="34" t="s">
        <v>151</v>
      </c>
      <c r="I94" s="34" t="s">
        <v>597</v>
      </c>
      <c r="J94" s="35" t="s">
        <v>225</v>
      </c>
      <c r="K94" s="35" t="s">
        <v>607</v>
      </c>
    </row>
    <row r="95" spans="1:11" ht="24" customHeight="1">
      <c r="A95" s="33" t="s">
        <v>93</v>
      </c>
      <c r="B95" s="34" t="s">
        <v>608</v>
      </c>
      <c r="C95" s="34" t="s">
        <v>609</v>
      </c>
      <c r="D95" s="34" t="s">
        <v>610</v>
      </c>
      <c r="E95" s="34"/>
      <c r="F95" s="34" t="s">
        <v>157</v>
      </c>
      <c r="G95" s="34"/>
      <c r="H95" s="34" t="s">
        <v>151</v>
      </c>
      <c r="I95" s="34" t="s">
        <v>602</v>
      </c>
      <c r="J95" s="35" t="s">
        <v>159</v>
      </c>
      <c r="K95" s="35"/>
    </row>
    <row r="96" spans="1:11" ht="45.95">
      <c r="A96" s="33" t="s">
        <v>93</v>
      </c>
      <c r="B96" s="34" t="s">
        <v>611</v>
      </c>
      <c r="C96" s="34" t="s">
        <v>612</v>
      </c>
      <c r="D96" s="34" t="s">
        <v>613</v>
      </c>
      <c r="E96" s="34" t="s">
        <v>614</v>
      </c>
      <c r="F96" s="34" t="s">
        <v>290</v>
      </c>
      <c r="G96" s="34"/>
      <c r="H96" s="34" t="s">
        <v>151</v>
      </c>
      <c r="I96" s="34" t="s">
        <v>615</v>
      </c>
      <c r="J96" s="35" t="s">
        <v>292</v>
      </c>
      <c r="K96" s="35" t="s">
        <v>616</v>
      </c>
    </row>
    <row r="97" spans="1:11" ht="24" customHeight="1">
      <c r="A97" s="33" t="s">
        <v>93</v>
      </c>
      <c r="B97" s="34" t="s">
        <v>617</v>
      </c>
      <c r="C97" s="34" t="s">
        <v>618</v>
      </c>
      <c r="D97" s="34" t="s">
        <v>619</v>
      </c>
      <c r="E97" s="34"/>
      <c r="F97" s="34" t="s">
        <v>397</v>
      </c>
      <c r="G97" s="34"/>
      <c r="H97" s="34" t="s">
        <v>151</v>
      </c>
      <c r="I97" s="34" t="s">
        <v>620</v>
      </c>
      <c r="J97" s="35" t="s">
        <v>399</v>
      </c>
      <c r="K97" s="35"/>
    </row>
    <row r="98" spans="1:11" ht="24" customHeight="1">
      <c r="A98" s="33" t="s">
        <v>93</v>
      </c>
      <c r="B98" s="34" t="s">
        <v>621</v>
      </c>
      <c r="C98" s="34" t="s">
        <v>622</v>
      </c>
      <c r="D98" s="34" t="s">
        <v>623</v>
      </c>
      <c r="E98" s="34" t="s">
        <v>624</v>
      </c>
      <c r="F98" s="34" t="s">
        <v>625</v>
      </c>
      <c r="G98" s="34"/>
      <c r="H98" s="34" t="s">
        <v>151</v>
      </c>
      <c r="I98" s="34" t="s">
        <v>626</v>
      </c>
      <c r="J98" s="35" t="s">
        <v>627</v>
      </c>
      <c r="K98" s="35" t="s">
        <v>628</v>
      </c>
    </row>
    <row r="99" spans="1:11" ht="24" customHeight="1">
      <c r="A99" s="33" t="s">
        <v>93</v>
      </c>
      <c r="B99" s="34" t="s">
        <v>629</v>
      </c>
      <c r="C99" s="34" t="s">
        <v>630</v>
      </c>
      <c r="D99" s="34" t="s">
        <v>631</v>
      </c>
      <c r="E99" s="34" t="s">
        <v>632</v>
      </c>
      <c r="F99" s="34" t="s">
        <v>633</v>
      </c>
      <c r="G99" s="34"/>
      <c r="H99" s="34" t="s">
        <v>151</v>
      </c>
      <c r="I99" s="34" t="s">
        <v>634</v>
      </c>
      <c r="J99" s="35" t="s">
        <v>635</v>
      </c>
      <c r="K99" s="35" t="s">
        <v>636</v>
      </c>
    </row>
    <row r="100" spans="1:11" ht="36" customHeight="1">
      <c r="A100" s="33" t="s">
        <v>93</v>
      </c>
      <c r="B100" s="34" t="s">
        <v>637</v>
      </c>
      <c r="C100" s="34" t="s">
        <v>638</v>
      </c>
      <c r="D100" s="34" t="s">
        <v>639</v>
      </c>
      <c r="E100" s="34" t="s">
        <v>640</v>
      </c>
      <c r="F100" s="34" t="s">
        <v>641</v>
      </c>
      <c r="G100" s="34"/>
      <c r="H100" s="34" t="s">
        <v>151</v>
      </c>
      <c r="I100" s="34" t="s">
        <v>642</v>
      </c>
      <c r="J100" s="35" t="s">
        <v>643</v>
      </c>
      <c r="K100" s="35" t="s">
        <v>644</v>
      </c>
    </row>
    <row r="101" spans="1:11" ht="24" customHeight="1">
      <c r="A101" s="33" t="s">
        <v>93</v>
      </c>
      <c r="B101" s="34" t="s">
        <v>645</v>
      </c>
      <c r="C101" s="34" t="s">
        <v>646</v>
      </c>
      <c r="D101" s="34" t="s">
        <v>647</v>
      </c>
      <c r="E101" s="34" t="s">
        <v>648</v>
      </c>
      <c r="F101" s="34" t="s">
        <v>649</v>
      </c>
      <c r="G101" s="34"/>
      <c r="H101" s="34" t="s">
        <v>151</v>
      </c>
      <c r="I101" s="34" t="s">
        <v>650</v>
      </c>
      <c r="J101" s="35" t="s">
        <v>651</v>
      </c>
      <c r="K101" s="35" t="s">
        <v>652</v>
      </c>
    </row>
    <row r="102" spans="1:11" ht="24" customHeight="1">
      <c r="A102" s="33" t="s">
        <v>93</v>
      </c>
      <c r="B102" s="34" t="s">
        <v>653</v>
      </c>
      <c r="C102" s="34" t="s">
        <v>654</v>
      </c>
      <c r="D102" s="34" t="s">
        <v>655</v>
      </c>
      <c r="E102" s="34" t="s">
        <v>656</v>
      </c>
      <c r="F102" s="34" t="s">
        <v>657</v>
      </c>
      <c r="G102" s="34"/>
      <c r="H102" s="34" t="s">
        <v>151</v>
      </c>
      <c r="I102" s="34" t="s">
        <v>658</v>
      </c>
      <c r="J102" s="35" t="s">
        <v>659</v>
      </c>
      <c r="K102" s="35" t="s">
        <v>660</v>
      </c>
    </row>
    <row r="103" spans="1:11" ht="24" customHeight="1">
      <c r="A103" s="33" t="s">
        <v>99</v>
      </c>
      <c r="B103" s="34" t="s">
        <v>146</v>
      </c>
      <c r="C103" s="34" t="s">
        <v>147</v>
      </c>
      <c r="D103" s="34" t="s">
        <v>148</v>
      </c>
      <c r="E103" s="34" t="s">
        <v>149</v>
      </c>
      <c r="F103" s="34" t="s">
        <v>150</v>
      </c>
      <c r="G103" s="34"/>
      <c r="H103" s="34" t="s">
        <v>151</v>
      </c>
      <c r="I103" s="34">
        <v>70</v>
      </c>
      <c r="J103" s="35" t="s">
        <v>152</v>
      </c>
      <c r="K103" s="35" t="s">
        <v>153</v>
      </c>
    </row>
    <row r="104" spans="1:11" ht="24" customHeight="1">
      <c r="A104" s="33" t="s">
        <v>99</v>
      </c>
      <c r="B104" s="34" t="s">
        <v>154</v>
      </c>
      <c r="C104" s="34" t="s">
        <v>155</v>
      </c>
      <c r="D104" s="34" t="s">
        <v>156</v>
      </c>
      <c r="E104" s="34"/>
      <c r="F104" s="34" t="s">
        <v>157</v>
      </c>
      <c r="G104" s="34"/>
      <c r="H104" s="34" t="s">
        <v>151</v>
      </c>
      <c r="I104" s="34" t="s">
        <v>158</v>
      </c>
      <c r="J104" s="35" t="s">
        <v>159</v>
      </c>
      <c r="K104" s="35"/>
    </row>
    <row r="105" spans="1:11" ht="24" customHeight="1">
      <c r="A105" s="33" t="s">
        <v>99</v>
      </c>
      <c r="B105" s="34" t="s">
        <v>160</v>
      </c>
      <c r="C105" s="34" t="s">
        <v>161</v>
      </c>
      <c r="D105" s="34" t="s">
        <v>162</v>
      </c>
      <c r="E105" s="34" t="s">
        <v>163</v>
      </c>
      <c r="F105" s="34" t="s">
        <v>164</v>
      </c>
      <c r="G105" s="34"/>
      <c r="H105" s="34" t="s">
        <v>151</v>
      </c>
      <c r="I105" s="34">
        <v>1</v>
      </c>
      <c r="J105" s="35" t="s">
        <v>165</v>
      </c>
      <c r="K105" s="35" t="s">
        <v>166</v>
      </c>
    </row>
    <row r="106" spans="1:11" ht="24" customHeight="1">
      <c r="A106" s="33" t="s">
        <v>99</v>
      </c>
      <c r="B106" s="34" t="s">
        <v>167</v>
      </c>
      <c r="C106" s="34" t="s">
        <v>168</v>
      </c>
      <c r="D106" s="34" t="s">
        <v>169</v>
      </c>
      <c r="E106" s="34"/>
      <c r="F106" s="34" t="s">
        <v>157</v>
      </c>
      <c r="G106" s="34"/>
      <c r="H106" s="34" t="s">
        <v>151</v>
      </c>
      <c r="I106" s="34" t="s">
        <v>661</v>
      </c>
      <c r="J106" s="35" t="s">
        <v>159</v>
      </c>
      <c r="K106" s="35"/>
    </row>
    <row r="107" spans="1:11" ht="57.6">
      <c r="A107" s="33" t="s">
        <v>99</v>
      </c>
      <c r="B107" s="34" t="s">
        <v>171</v>
      </c>
      <c r="C107" s="34" t="s">
        <v>172</v>
      </c>
      <c r="D107" s="34" t="s">
        <v>173</v>
      </c>
      <c r="E107" s="34" t="s">
        <v>174</v>
      </c>
      <c r="F107" s="34" t="s">
        <v>175</v>
      </c>
      <c r="G107" s="34"/>
      <c r="H107" s="34" t="s">
        <v>151</v>
      </c>
      <c r="I107" s="34" t="s">
        <v>662</v>
      </c>
      <c r="J107" s="35" t="s">
        <v>177</v>
      </c>
      <c r="K107" s="35" t="s">
        <v>178</v>
      </c>
    </row>
    <row r="108" spans="1:11" ht="24" customHeight="1">
      <c r="A108" s="33" t="s">
        <v>99</v>
      </c>
      <c r="B108" s="34" t="s">
        <v>179</v>
      </c>
      <c r="C108" s="34" t="s">
        <v>180</v>
      </c>
      <c r="D108" s="34" t="s">
        <v>181</v>
      </c>
      <c r="E108" s="34"/>
      <c r="F108" s="34" t="s">
        <v>157</v>
      </c>
      <c r="G108" s="34"/>
      <c r="H108" s="34" t="s">
        <v>151</v>
      </c>
      <c r="I108" s="34" t="s">
        <v>663</v>
      </c>
      <c r="J108" s="35" t="s">
        <v>159</v>
      </c>
      <c r="K108" s="35"/>
    </row>
    <row r="109" spans="1:11" ht="45.95">
      <c r="A109" s="33" t="s">
        <v>99</v>
      </c>
      <c r="B109" s="34" t="s">
        <v>183</v>
      </c>
      <c r="C109" s="34" t="s">
        <v>184</v>
      </c>
      <c r="D109" s="34" t="s">
        <v>185</v>
      </c>
      <c r="E109" s="34" t="s">
        <v>186</v>
      </c>
      <c r="F109" s="34" t="s">
        <v>187</v>
      </c>
      <c r="G109" s="34"/>
      <c r="H109" s="34" t="s">
        <v>151</v>
      </c>
      <c r="I109" s="34" t="s">
        <v>664</v>
      </c>
      <c r="J109" s="35" t="s">
        <v>189</v>
      </c>
      <c r="K109" s="35" t="s">
        <v>190</v>
      </c>
    </row>
    <row r="110" spans="1:11" ht="24" customHeight="1">
      <c r="A110" s="33" t="s">
        <v>99</v>
      </c>
      <c r="B110" s="34" t="s">
        <v>191</v>
      </c>
      <c r="C110" s="34" t="s">
        <v>192</v>
      </c>
      <c r="D110" s="34" t="s">
        <v>193</v>
      </c>
      <c r="E110" s="34"/>
      <c r="F110" s="34" t="s">
        <v>194</v>
      </c>
      <c r="G110" s="34"/>
      <c r="H110" s="34" t="s">
        <v>151</v>
      </c>
      <c r="I110" s="34" t="s">
        <v>665</v>
      </c>
      <c r="J110" s="35" t="s">
        <v>196</v>
      </c>
      <c r="K110" s="35"/>
    </row>
    <row r="111" spans="1:11" ht="34.5">
      <c r="A111" s="33" t="s">
        <v>99</v>
      </c>
      <c r="B111" s="34" t="s">
        <v>197</v>
      </c>
      <c r="C111" s="34" t="s">
        <v>198</v>
      </c>
      <c r="D111" s="34" t="s">
        <v>199</v>
      </c>
      <c r="E111" s="34" t="s">
        <v>200</v>
      </c>
      <c r="F111" s="34" t="s">
        <v>187</v>
      </c>
      <c r="G111" s="34"/>
      <c r="H111" s="34" t="s">
        <v>151</v>
      </c>
      <c r="I111" s="34" t="s">
        <v>664</v>
      </c>
      <c r="J111" s="35" t="s">
        <v>189</v>
      </c>
      <c r="K111" s="35" t="s">
        <v>201</v>
      </c>
    </row>
    <row r="112" spans="1:11" ht="24" customHeight="1">
      <c r="A112" s="33" t="s">
        <v>99</v>
      </c>
      <c r="B112" s="34" t="s">
        <v>202</v>
      </c>
      <c r="C112" s="34" t="s">
        <v>203</v>
      </c>
      <c r="D112" s="34" t="s">
        <v>204</v>
      </c>
      <c r="E112" s="34"/>
      <c r="F112" s="34" t="s">
        <v>205</v>
      </c>
      <c r="G112" s="34"/>
      <c r="H112" s="34" t="s">
        <v>151</v>
      </c>
      <c r="I112" s="34" t="s">
        <v>665</v>
      </c>
      <c r="J112" s="35" t="s">
        <v>206</v>
      </c>
      <c r="K112" s="35"/>
    </row>
    <row r="113" spans="1:11" ht="24" customHeight="1">
      <c r="A113" s="33" t="s">
        <v>99</v>
      </c>
      <c r="B113" s="34" t="s">
        <v>207</v>
      </c>
      <c r="C113" s="34" t="s">
        <v>208</v>
      </c>
      <c r="D113" s="34" t="s">
        <v>209</v>
      </c>
      <c r="E113" s="34" t="s">
        <v>210</v>
      </c>
      <c r="F113" s="34" t="s">
        <v>187</v>
      </c>
      <c r="G113" s="34"/>
      <c r="H113" s="34" t="s">
        <v>151</v>
      </c>
      <c r="I113" s="34" t="s">
        <v>23</v>
      </c>
      <c r="J113" s="35" t="s">
        <v>189</v>
      </c>
      <c r="K113" s="35" t="s">
        <v>212</v>
      </c>
    </row>
    <row r="114" spans="1:11" ht="24" customHeight="1">
      <c r="A114" s="33" t="s">
        <v>99</v>
      </c>
      <c r="B114" s="34" t="s">
        <v>213</v>
      </c>
      <c r="C114" s="34" t="s">
        <v>214</v>
      </c>
      <c r="D114" s="34" t="s">
        <v>215</v>
      </c>
      <c r="E114" s="34"/>
      <c r="F114" s="34" t="s">
        <v>216</v>
      </c>
      <c r="G114" s="34"/>
      <c r="H114" s="34" t="s">
        <v>151</v>
      </c>
      <c r="I114" s="34" t="s">
        <v>666</v>
      </c>
      <c r="J114" s="35" t="s">
        <v>218</v>
      </c>
      <c r="K114" s="35"/>
    </row>
    <row r="115" spans="1:11" ht="24" customHeight="1">
      <c r="A115" s="33" t="s">
        <v>99</v>
      </c>
      <c r="B115" s="34" t="s">
        <v>219</v>
      </c>
      <c r="C115" s="34" t="s">
        <v>220</v>
      </c>
      <c r="D115" s="34" t="s">
        <v>221</v>
      </c>
      <c r="E115" s="34" t="s">
        <v>222</v>
      </c>
      <c r="F115" s="34" t="s">
        <v>223</v>
      </c>
      <c r="G115" s="34"/>
      <c r="H115" s="34" t="s">
        <v>151</v>
      </c>
      <c r="I115" s="34" t="s">
        <v>23</v>
      </c>
      <c r="J115" s="35" t="s">
        <v>225</v>
      </c>
      <c r="K115" s="35" t="s">
        <v>226</v>
      </c>
    </row>
    <row r="116" spans="1:11" ht="24" customHeight="1">
      <c r="A116" s="33" t="s">
        <v>99</v>
      </c>
      <c r="B116" s="34" t="s">
        <v>227</v>
      </c>
      <c r="C116" s="34" t="s">
        <v>228</v>
      </c>
      <c r="D116" s="34" t="s">
        <v>229</v>
      </c>
      <c r="E116" s="34"/>
      <c r="F116" s="34" t="s">
        <v>157</v>
      </c>
      <c r="G116" s="34"/>
      <c r="H116" s="34" t="s">
        <v>151</v>
      </c>
      <c r="I116" s="34" t="s">
        <v>23</v>
      </c>
      <c r="J116" s="35" t="s">
        <v>159</v>
      </c>
      <c r="K116" s="35"/>
    </row>
    <row r="117" spans="1:11" ht="24" customHeight="1">
      <c r="A117" s="33" t="s">
        <v>99</v>
      </c>
      <c r="B117" s="34" t="s">
        <v>231</v>
      </c>
      <c r="C117" s="34" t="s">
        <v>232</v>
      </c>
      <c r="D117" s="34" t="s">
        <v>233</v>
      </c>
      <c r="E117" s="34" t="s">
        <v>234</v>
      </c>
      <c r="F117" s="34" t="s">
        <v>235</v>
      </c>
      <c r="G117" s="34"/>
      <c r="H117" s="34" t="s">
        <v>151</v>
      </c>
      <c r="I117" s="34" t="s">
        <v>23</v>
      </c>
      <c r="J117" s="35" t="s">
        <v>237</v>
      </c>
      <c r="K117" s="35" t="s">
        <v>238</v>
      </c>
    </row>
    <row r="118" spans="1:11" ht="24" customHeight="1">
      <c r="A118" s="33" t="s">
        <v>99</v>
      </c>
      <c r="B118" s="34" t="s">
        <v>239</v>
      </c>
      <c r="C118" s="34" t="s">
        <v>240</v>
      </c>
      <c r="D118" s="34" t="s">
        <v>241</v>
      </c>
      <c r="E118" s="34"/>
      <c r="F118" s="34" t="s">
        <v>157</v>
      </c>
      <c r="G118" s="34"/>
      <c r="H118" s="34" t="s">
        <v>151</v>
      </c>
      <c r="I118" s="34" t="s">
        <v>23</v>
      </c>
      <c r="J118" s="35" t="s">
        <v>159</v>
      </c>
      <c r="K118" s="35"/>
    </row>
    <row r="119" spans="1:11" ht="34.5">
      <c r="A119" s="33" t="s">
        <v>99</v>
      </c>
      <c r="B119" s="34" t="s">
        <v>243</v>
      </c>
      <c r="C119" s="34" t="s">
        <v>244</v>
      </c>
      <c r="D119" s="34" t="s">
        <v>245</v>
      </c>
      <c r="E119" s="34" t="s">
        <v>246</v>
      </c>
      <c r="F119" s="34" t="s">
        <v>223</v>
      </c>
      <c r="G119" s="34"/>
      <c r="H119" s="34" t="s">
        <v>151</v>
      </c>
      <c r="I119" s="34" t="s">
        <v>23</v>
      </c>
      <c r="J119" s="35" t="s">
        <v>225</v>
      </c>
      <c r="K119" s="35" t="s">
        <v>248</v>
      </c>
    </row>
    <row r="120" spans="1:11" ht="24" customHeight="1">
      <c r="A120" s="33" t="s">
        <v>99</v>
      </c>
      <c r="B120" s="34" t="s">
        <v>249</v>
      </c>
      <c r="C120" s="34" t="s">
        <v>250</v>
      </c>
      <c r="D120" s="34" t="s">
        <v>251</v>
      </c>
      <c r="E120" s="34"/>
      <c r="F120" s="34" t="s">
        <v>252</v>
      </c>
      <c r="G120" s="34"/>
      <c r="H120" s="34" t="s">
        <v>151</v>
      </c>
      <c r="I120" s="34" t="s">
        <v>666</v>
      </c>
      <c r="J120" s="35" t="s">
        <v>254</v>
      </c>
      <c r="K120" s="35"/>
    </row>
    <row r="121" spans="1:11" ht="34.5">
      <c r="A121" s="33" t="s">
        <v>99</v>
      </c>
      <c r="B121" s="34" t="s">
        <v>255</v>
      </c>
      <c r="C121" s="34" t="s">
        <v>256</v>
      </c>
      <c r="D121" s="34" t="s">
        <v>257</v>
      </c>
      <c r="E121" s="34" t="s">
        <v>258</v>
      </c>
      <c r="F121" s="34" t="s">
        <v>259</v>
      </c>
      <c r="G121" s="34"/>
      <c r="H121" s="34" t="s">
        <v>151</v>
      </c>
      <c r="I121" s="34" t="s">
        <v>667</v>
      </c>
      <c r="J121" s="35" t="s">
        <v>261</v>
      </c>
      <c r="K121" s="35" t="s">
        <v>262</v>
      </c>
    </row>
    <row r="122" spans="1:11" ht="24" customHeight="1">
      <c r="A122" s="33" t="s">
        <v>99</v>
      </c>
      <c r="B122" s="34" t="s">
        <v>263</v>
      </c>
      <c r="C122" s="34" t="s">
        <v>264</v>
      </c>
      <c r="D122" s="34" t="s">
        <v>265</v>
      </c>
      <c r="E122" s="34"/>
      <c r="F122" s="34" t="s">
        <v>266</v>
      </c>
      <c r="G122" s="34"/>
      <c r="H122" s="34" t="s">
        <v>151</v>
      </c>
      <c r="I122" s="34" t="s">
        <v>668</v>
      </c>
      <c r="J122" s="35" t="s">
        <v>268</v>
      </c>
      <c r="K122" s="35"/>
    </row>
    <row r="123" spans="1:11" ht="57.6">
      <c r="A123" s="33" t="s">
        <v>99</v>
      </c>
      <c r="B123" s="34" t="s">
        <v>269</v>
      </c>
      <c r="C123" s="34" t="s">
        <v>270</v>
      </c>
      <c r="D123" s="34" t="s">
        <v>271</v>
      </c>
      <c r="E123" s="34" t="s">
        <v>272</v>
      </c>
      <c r="F123" s="34" t="s">
        <v>273</v>
      </c>
      <c r="G123" s="34"/>
      <c r="H123" s="34" t="s">
        <v>151</v>
      </c>
      <c r="I123" s="34" t="s">
        <v>669</v>
      </c>
      <c r="J123" s="35" t="s">
        <v>275</v>
      </c>
      <c r="K123" s="35" t="s">
        <v>276</v>
      </c>
    </row>
    <row r="124" spans="1:11" ht="24" customHeight="1">
      <c r="A124" s="33" t="s">
        <v>99</v>
      </c>
      <c r="B124" s="34" t="s">
        <v>277</v>
      </c>
      <c r="C124" s="34" t="s">
        <v>278</v>
      </c>
      <c r="D124" s="34" t="s">
        <v>279</v>
      </c>
      <c r="E124" s="34"/>
      <c r="F124" s="34" t="s">
        <v>157</v>
      </c>
      <c r="G124" s="34"/>
      <c r="H124" s="34" t="s">
        <v>151</v>
      </c>
      <c r="I124" s="34" t="s">
        <v>670</v>
      </c>
      <c r="J124" s="35" t="s">
        <v>159</v>
      </c>
      <c r="K124" s="35"/>
    </row>
    <row r="125" spans="1:11" ht="24" customHeight="1">
      <c r="A125" s="33" t="s">
        <v>99</v>
      </c>
      <c r="B125" s="34" t="s">
        <v>281</v>
      </c>
      <c r="C125" s="34" t="s">
        <v>282</v>
      </c>
      <c r="D125" s="34" t="s">
        <v>283</v>
      </c>
      <c r="E125" s="34" t="s">
        <v>284</v>
      </c>
      <c r="F125" s="34" t="s">
        <v>150</v>
      </c>
      <c r="G125" s="34"/>
      <c r="H125" s="34" t="s">
        <v>151</v>
      </c>
      <c r="I125" s="34">
        <v>70</v>
      </c>
      <c r="J125" s="35" t="s">
        <v>285</v>
      </c>
      <c r="K125" s="35" t="s">
        <v>286</v>
      </c>
    </row>
    <row r="126" spans="1:11" ht="24" customHeight="1">
      <c r="A126" s="33" t="s">
        <v>99</v>
      </c>
      <c r="B126" s="34" t="s">
        <v>287</v>
      </c>
      <c r="C126" s="34" t="s">
        <v>288</v>
      </c>
      <c r="D126" s="34" t="s">
        <v>289</v>
      </c>
      <c r="E126" s="34"/>
      <c r="F126" s="34" t="s">
        <v>290</v>
      </c>
      <c r="G126" s="34"/>
      <c r="H126" s="34" t="s">
        <v>151</v>
      </c>
      <c r="I126" s="34" t="s">
        <v>158</v>
      </c>
      <c r="J126" s="35" t="s">
        <v>292</v>
      </c>
      <c r="K126" s="35"/>
    </row>
    <row r="127" spans="1:11" ht="24" customHeight="1">
      <c r="A127" s="33" t="s">
        <v>99</v>
      </c>
      <c r="B127" s="34" t="s">
        <v>293</v>
      </c>
      <c r="C127" s="34" t="s">
        <v>294</v>
      </c>
      <c r="D127" s="34" t="s">
        <v>295</v>
      </c>
      <c r="E127" s="34" t="s">
        <v>296</v>
      </c>
      <c r="F127" s="34" t="s">
        <v>297</v>
      </c>
      <c r="G127" s="34"/>
      <c r="H127" s="34" t="s">
        <v>151</v>
      </c>
      <c r="I127" s="34">
        <v>122.02500000000001</v>
      </c>
      <c r="J127" s="35" t="s">
        <v>298</v>
      </c>
      <c r="K127" s="35" t="s">
        <v>299</v>
      </c>
    </row>
    <row r="128" spans="1:11" ht="24" customHeight="1">
      <c r="A128" s="33" t="s">
        <v>99</v>
      </c>
      <c r="B128" s="34" t="s">
        <v>300</v>
      </c>
      <c r="C128" s="34" t="s">
        <v>301</v>
      </c>
      <c r="D128" s="34" t="s">
        <v>302</v>
      </c>
      <c r="E128" s="34"/>
      <c r="F128" s="34" t="s">
        <v>194</v>
      </c>
      <c r="G128" s="34"/>
      <c r="H128" s="34" t="s">
        <v>151</v>
      </c>
      <c r="I128" s="34" t="s">
        <v>671</v>
      </c>
      <c r="J128" s="35" t="s">
        <v>196</v>
      </c>
      <c r="K128" s="35"/>
    </row>
    <row r="129" spans="1:11" ht="34.5">
      <c r="A129" s="33" t="s">
        <v>99</v>
      </c>
      <c r="B129" s="34" t="s">
        <v>304</v>
      </c>
      <c r="C129" s="34" t="s">
        <v>305</v>
      </c>
      <c r="D129" s="34" t="s">
        <v>306</v>
      </c>
      <c r="E129" s="34" t="s">
        <v>307</v>
      </c>
      <c r="F129" s="34" t="s">
        <v>223</v>
      </c>
      <c r="G129" s="34"/>
      <c r="H129" s="34" t="s">
        <v>151</v>
      </c>
      <c r="I129" s="34" t="s">
        <v>672</v>
      </c>
      <c r="J129" s="35" t="s">
        <v>225</v>
      </c>
      <c r="K129" s="35" t="s">
        <v>309</v>
      </c>
    </row>
    <row r="130" spans="1:11" ht="24" customHeight="1">
      <c r="A130" s="33" t="s">
        <v>99</v>
      </c>
      <c r="B130" s="34" t="s">
        <v>310</v>
      </c>
      <c r="C130" s="34" t="s">
        <v>311</v>
      </c>
      <c r="D130" s="34" t="s">
        <v>312</v>
      </c>
      <c r="E130" s="34"/>
      <c r="F130" s="34" t="s">
        <v>313</v>
      </c>
      <c r="G130" s="34"/>
      <c r="H130" s="34" t="s">
        <v>151</v>
      </c>
      <c r="I130" s="34" t="s">
        <v>673</v>
      </c>
      <c r="J130" s="35" t="s">
        <v>315</v>
      </c>
      <c r="K130" s="35"/>
    </row>
    <row r="131" spans="1:11" ht="23.1">
      <c r="A131" s="33" t="s">
        <v>99</v>
      </c>
      <c r="B131" s="34" t="s">
        <v>674</v>
      </c>
      <c r="C131" s="34" t="s">
        <v>675</v>
      </c>
      <c r="D131" s="34" t="s">
        <v>676</v>
      </c>
      <c r="E131" s="34" t="s">
        <v>677</v>
      </c>
      <c r="F131" s="34" t="s">
        <v>259</v>
      </c>
      <c r="G131" s="34"/>
      <c r="H131" s="34" t="s">
        <v>151</v>
      </c>
      <c r="I131" s="34" t="s">
        <v>23</v>
      </c>
      <c r="J131" s="35" t="s">
        <v>261</v>
      </c>
      <c r="K131" s="35" t="s">
        <v>678</v>
      </c>
    </row>
    <row r="132" spans="1:11" ht="24" customHeight="1">
      <c r="A132" s="33" t="s">
        <v>99</v>
      </c>
      <c r="B132" s="34" t="s">
        <v>679</v>
      </c>
      <c r="C132" s="34" t="s">
        <v>680</v>
      </c>
      <c r="D132" s="34" t="s">
        <v>681</v>
      </c>
      <c r="E132" s="34"/>
      <c r="F132" s="34" t="s">
        <v>157</v>
      </c>
      <c r="G132" s="34"/>
      <c r="H132" s="34" t="s">
        <v>151</v>
      </c>
      <c r="I132" s="34" t="s">
        <v>666</v>
      </c>
      <c r="J132" s="35" t="s">
        <v>159</v>
      </c>
      <c r="K132" s="35"/>
    </row>
    <row r="133" spans="1:11" ht="24" customHeight="1">
      <c r="A133" s="33" t="s">
        <v>99</v>
      </c>
      <c r="B133" s="34" t="s">
        <v>316</v>
      </c>
      <c r="C133" s="34" t="s">
        <v>317</v>
      </c>
      <c r="D133" s="34" t="s">
        <v>318</v>
      </c>
      <c r="E133" s="34" t="s">
        <v>319</v>
      </c>
      <c r="F133" s="34" t="s">
        <v>150</v>
      </c>
      <c r="G133" s="34"/>
      <c r="H133" s="34" t="s">
        <v>151</v>
      </c>
      <c r="I133" s="34">
        <v>12</v>
      </c>
      <c r="J133" s="35" t="s">
        <v>320</v>
      </c>
      <c r="K133" s="35" t="s">
        <v>321</v>
      </c>
    </row>
    <row r="134" spans="1:11" ht="24" customHeight="1">
      <c r="A134" s="33" t="s">
        <v>99</v>
      </c>
      <c r="B134" s="34" t="s">
        <v>322</v>
      </c>
      <c r="C134" s="34" t="s">
        <v>323</v>
      </c>
      <c r="D134" s="34" t="s">
        <v>324</v>
      </c>
      <c r="E134" s="34"/>
      <c r="F134" s="34" t="s">
        <v>157</v>
      </c>
      <c r="G134" s="34"/>
      <c r="H134" s="34" t="s">
        <v>151</v>
      </c>
      <c r="I134" s="34" t="s">
        <v>682</v>
      </c>
      <c r="J134" s="35" t="s">
        <v>159</v>
      </c>
      <c r="K134" s="35"/>
    </row>
    <row r="135" spans="1:11" ht="24" customHeight="1">
      <c r="A135" s="33" t="s">
        <v>99</v>
      </c>
      <c r="B135" s="34" t="s">
        <v>326</v>
      </c>
      <c r="C135" s="34" t="s">
        <v>327</v>
      </c>
      <c r="D135" s="34" t="s">
        <v>328</v>
      </c>
      <c r="E135" s="34" t="s">
        <v>329</v>
      </c>
      <c r="F135" s="34" t="s">
        <v>290</v>
      </c>
      <c r="G135" s="34"/>
      <c r="H135" s="34" t="s">
        <v>151</v>
      </c>
      <c r="I135" s="34" t="s">
        <v>23</v>
      </c>
      <c r="J135" s="35" t="s">
        <v>292</v>
      </c>
      <c r="K135" s="35" t="s">
        <v>331</v>
      </c>
    </row>
    <row r="136" spans="1:11" ht="24" customHeight="1">
      <c r="A136" s="33" t="s">
        <v>99</v>
      </c>
      <c r="B136" s="34" t="s">
        <v>332</v>
      </c>
      <c r="C136" s="34" t="s">
        <v>333</v>
      </c>
      <c r="D136" s="34" t="s">
        <v>334</v>
      </c>
      <c r="E136" s="34"/>
      <c r="F136" s="34" t="s">
        <v>335</v>
      </c>
      <c r="G136" s="34"/>
      <c r="H136" s="34" t="s">
        <v>151</v>
      </c>
      <c r="I136" s="34" t="s">
        <v>23</v>
      </c>
      <c r="J136" s="35" t="s">
        <v>337</v>
      </c>
      <c r="K136" s="35"/>
    </row>
    <row r="137" spans="1:11" ht="24" customHeight="1">
      <c r="A137" s="33" t="s">
        <v>99</v>
      </c>
      <c r="B137" s="34" t="s">
        <v>338</v>
      </c>
      <c r="C137" s="34" t="s">
        <v>339</v>
      </c>
      <c r="D137" s="34" t="s">
        <v>340</v>
      </c>
      <c r="E137" s="34" t="s">
        <v>341</v>
      </c>
      <c r="F137" s="34" t="s">
        <v>290</v>
      </c>
      <c r="G137" s="34"/>
      <c r="H137" s="34" t="s">
        <v>151</v>
      </c>
      <c r="I137" s="34">
        <v>3529380</v>
      </c>
      <c r="J137" s="35" t="s">
        <v>292</v>
      </c>
      <c r="K137" s="35" t="s">
        <v>342</v>
      </c>
    </row>
    <row r="138" spans="1:11" ht="24" customHeight="1">
      <c r="A138" s="33" t="s">
        <v>99</v>
      </c>
      <c r="B138" s="34" t="s">
        <v>343</v>
      </c>
      <c r="C138" s="34" t="s">
        <v>344</v>
      </c>
      <c r="D138" s="34" t="s">
        <v>345</v>
      </c>
      <c r="E138" s="34"/>
      <c r="F138" s="34" t="s">
        <v>335</v>
      </c>
      <c r="G138" s="34"/>
      <c r="H138" s="34" t="s">
        <v>151</v>
      </c>
      <c r="I138" s="34" t="s">
        <v>683</v>
      </c>
      <c r="J138" s="35" t="s">
        <v>337</v>
      </c>
      <c r="K138" s="35"/>
    </row>
    <row r="139" spans="1:11" ht="24" customHeight="1">
      <c r="A139" s="33" t="s">
        <v>99</v>
      </c>
      <c r="B139" s="34" t="s">
        <v>346</v>
      </c>
      <c r="C139" s="34" t="s">
        <v>347</v>
      </c>
      <c r="D139" s="34" t="s">
        <v>348</v>
      </c>
      <c r="E139" s="34" t="s">
        <v>349</v>
      </c>
      <c r="F139" s="34" t="s">
        <v>187</v>
      </c>
      <c r="G139" s="34"/>
      <c r="H139" s="34" t="s">
        <v>151</v>
      </c>
      <c r="I139" s="34">
        <v>70</v>
      </c>
      <c r="J139" s="35" t="s">
        <v>189</v>
      </c>
      <c r="K139" s="35" t="s">
        <v>350</v>
      </c>
    </row>
    <row r="140" spans="1:11" ht="24" customHeight="1">
      <c r="A140" s="33" t="s">
        <v>99</v>
      </c>
      <c r="B140" s="34" t="s">
        <v>351</v>
      </c>
      <c r="C140" s="34" t="s">
        <v>352</v>
      </c>
      <c r="D140" s="34" t="s">
        <v>353</v>
      </c>
      <c r="E140" s="34"/>
      <c r="F140" s="34" t="s">
        <v>290</v>
      </c>
      <c r="G140" s="34"/>
      <c r="H140" s="34" t="s">
        <v>151</v>
      </c>
      <c r="I140" s="34" t="s">
        <v>158</v>
      </c>
      <c r="J140" s="35" t="s">
        <v>292</v>
      </c>
      <c r="K140" s="35"/>
    </row>
    <row r="141" spans="1:11" ht="34.5">
      <c r="A141" s="33" t="s">
        <v>99</v>
      </c>
      <c r="B141" s="34" t="s">
        <v>354</v>
      </c>
      <c r="C141" s="34" t="s">
        <v>355</v>
      </c>
      <c r="D141" s="34" t="s">
        <v>356</v>
      </c>
      <c r="E141" s="34" t="s">
        <v>357</v>
      </c>
      <c r="F141" s="34" t="s">
        <v>223</v>
      </c>
      <c r="G141" s="34"/>
      <c r="H141" s="34" t="s">
        <v>151</v>
      </c>
      <c r="I141" s="34" t="s">
        <v>684</v>
      </c>
      <c r="J141" s="35" t="s">
        <v>225</v>
      </c>
      <c r="K141" s="35" t="s">
        <v>359</v>
      </c>
    </row>
    <row r="142" spans="1:11" ht="24" customHeight="1">
      <c r="A142" s="33" t="s">
        <v>99</v>
      </c>
      <c r="B142" s="34" t="s">
        <v>360</v>
      </c>
      <c r="C142" s="34" t="s">
        <v>361</v>
      </c>
      <c r="D142" s="34" t="s">
        <v>362</v>
      </c>
      <c r="E142" s="34"/>
      <c r="F142" s="34" t="s">
        <v>157</v>
      </c>
      <c r="G142" s="34"/>
      <c r="H142" s="34" t="s">
        <v>151</v>
      </c>
      <c r="I142" s="34" t="s">
        <v>685</v>
      </c>
      <c r="J142" s="35" t="s">
        <v>159</v>
      </c>
      <c r="K142" s="35"/>
    </row>
    <row r="143" spans="1:11" ht="34.5">
      <c r="A143" s="33" t="s">
        <v>99</v>
      </c>
      <c r="B143" s="34" t="s">
        <v>363</v>
      </c>
      <c r="C143" s="34" t="s">
        <v>364</v>
      </c>
      <c r="D143" s="34" t="s">
        <v>365</v>
      </c>
      <c r="E143" s="34" t="s">
        <v>366</v>
      </c>
      <c r="F143" s="34" t="s">
        <v>223</v>
      </c>
      <c r="G143" s="34"/>
      <c r="H143" s="34" t="s">
        <v>151</v>
      </c>
      <c r="I143" s="34">
        <v>721</v>
      </c>
      <c r="J143" s="35" t="s">
        <v>225</v>
      </c>
      <c r="K143" s="35" t="s">
        <v>367</v>
      </c>
    </row>
    <row r="144" spans="1:11" ht="24" customHeight="1">
      <c r="A144" s="33" t="s">
        <v>99</v>
      </c>
      <c r="B144" s="34" t="s">
        <v>368</v>
      </c>
      <c r="C144" s="34" t="s">
        <v>369</v>
      </c>
      <c r="D144" s="34" t="s">
        <v>370</v>
      </c>
      <c r="E144" s="34"/>
      <c r="F144" s="34" t="s">
        <v>157</v>
      </c>
      <c r="G144" s="34"/>
      <c r="H144" s="34" t="s">
        <v>151</v>
      </c>
      <c r="I144" s="34" t="s">
        <v>686</v>
      </c>
      <c r="J144" s="35" t="s">
        <v>159</v>
      </c>
      <c r="K144" s="35"/>
    </row>
    <row r="145" spans="1:11" ht="34.5">
      <c r="A145" s="33" t="s">
        <v>99</v>
      </c>
      <c r="B145" s="34" t="s">
        <v>371</v>
      </c>
      <c r="C145" s="34" t="s">
        <v>372</v>
      </c>
      <c r="D145" s="34" t="s">
        <v>373</v>
      </c>
      <c r="E145" s="34" t="s">
        <v>374</v>
      </c>
      <c r="F145" s="34" t="s">
        <v>223</v>
      </c>
      <c r="G145" s="34"/>
      <c r="H145" s="34" t="s">
        <v>151</v>
      </c>
      <c r="I145" s="34">
        <v>610</v>
      </c>
      <c r="J145" s="35" t="s">
        <v>225</v>
      </c>
      <c r="K145" s="35" t="s">
        <v>375</v>
      </c>
    </row>
    <row r="146" spans="1:11" ht="24" customHeight="1">
      <c r="A146" s="33" t="s">
        <v>99</v>
      </c>
      <c r="B146" s="34" t="s">
        <v>376</v>
      </c>
      <c r="C146" s="34" t="s">
        <v>377</v>
      </c>
      <c r="D146" s="34" t="s">
        <v>378</v>
      </c>
      <c r="E146" s="34"/>
      <c r="F146" s="34" t="s">
        <v>157</v>
      </c>
      <c r="G146" s="34"/>
      <c r="H146" s="34" t="s">
        <v>151</v>
      </c>
      <c r="I146" s="34" t="s">
        <v>687</v>
      </c>
      <c r="J146" s="35" t="s">
        <v>159</v>
      </c>
      <c r="K146" s="35"/>
    </row>
    <row r="147" spans="1:11" ht="24" customHeight="1">
      <c r="A147" s="33" t="s">
        <v>99</v>
      </c>
      <c r="B147" s="34" t="s">
        <v>380</v>
      </c>
      <c r="C147" s="34" t="s">
        <v>381</v>
      </c>
      <c r="D147" s="34" t="s">
        <v>382</v>
      </c>
      <c r="E147" s="34" t="s">
        <v>383</v>
      </c>
      <c r="F147" s="34" t="s">
        <v>259</v>
      </c>
      <c r="G147" s="34"/>
      <c r="H147" s="34" t="s">
        <v>151</v>
      </c>
      <c r="I147" s="34" t="s">
        <v>688</v>
      </c>
      <c r="J147" s="35" t="s">
        <v>261</v>
      </c>
      <c r="K147" s="35" t="s">
        <v>385</v>
      </c>
    </row>
    <row r="148" spans="1:11" ht="24" customHeight="1">
      <c r="A148" s="33" t="s">
        <v>99</v>
      </c>
      <c r="B148" s="34" t="s">
        <v>386</v>
      </c>
      <c r="C148" s="34" t="s">
        <v>387</v>
      </c>
      <c r="D148" s="34" t="s">
        <v>388</v>
      </c>
      <c r="E148" s="34"/>
      <c r="F148" s="34" t="s">
        <v>157</v>
      </c>
      <c r="G148" s="34"/>
      <c r="H148" s="34" t="s">
        <v>151</v>
      </c>
      <c r="I148" s="34" t="s">
        <v>689</v>
      </c>
      <c r="J148" s="35" t="s">
        <v>159</v>
      </c>
      <c r="K148" s="35"/>
    </row>
    <row r="149" spans="1:11" ht="45.95">
      <c r="A149" s="33" t="s">
        <v>99</v>
      </c>
      <c r="B149" s="34" t="s">
        <v>389</v>
      </c>
      <c r="C149" s="34" t="s">
        <v>390</v>
      </c>
      <c r="D149" s="34" t="s">
        <v>391</v>
      </c>
      <c r="E149" s="34" t="s">
        <v>392</v>
      </c>
      <c r="F149" s="34" t="s">
        <v>290</v>
      </c>
      <c r="G149" s="34"/>
      <c r="H149" s="34" t="s">
        <v>151</v>
      </c>
      <c r="I149" s="34">
        <v>2316335</v>
      </c>
      <c r="J149" s="35" t="s">
        <v>292</v>
      </c>
      <c r="K149" s="35" t="s">
        <v>393</v>
      </c>
    </row>
    <row r="150" spans="1:11" ht="24" customHeight="1">
      <c r="A150" s="33" t="s">
        <v>99</v>
      </c>
      <c r="B150" s="34" t="s">
        <v>394</v>
      </c>
      <c r="C150" s="34" t="s">
        <v>395</v>
      </c>
      <c r="D150" s="34" t="s">
        <v>396</v>
      </c>
      <c r="E150" s="34"/>
      <c r="F150" s="34" t="s">
        <v>397</v>
      </c>
      <c r="G150" s="34"/>
      <c r="H150" s="34" t="s">
        <v>151</v>
      </c>
      <c r="I150" s="34" t="s">
        <v>690</v>
      </c>
      <c r="J150" s="35" t="s">
        <v>399</v>
      </c>
      <c r="K150" s="35"/>
    </row>
    <row r="151" spans="1:11" ht="24" customHeight="1">
      <c r="A151" s="33" t="s">
        <v>99</v>
      </c>
      <c r="B151" s="34" t="s">
        <v>400</v>
      </c>
      <c r="C151" s="34" t="s">
        <v>401</v>
      </c>
      <c r="D151" s="34" t="s">
        <v>400</v>
      </c>
      <c r="E151" s="34" t="s">
        <v>402</v>
      </c>
      <c r="F151" s="34" t="s">
        <v>403</v>
      </c>
      <c r="G151" s="34"/>
      <c r="H151" s="34" t="s">
        <v>151</v>
      </c>
      <c r="I151" s="34" t="s">
        <v>691</v>
      </c>
      <c r="J151" s="35" t="s">
        <v>405</v>
      </c>
      <c r="K151" s="35" t="s">
        <v>406</v>
      </c>
    </row>
    <row r="152" spans="1:11" ht="24" customHeight="1">
      <c r="A152" s="33" t="s">
        <v>99</v>
      </c>
      <c r="B152" s="34" t="s">
        <v>407</v>
      </c>
      <c r="C152" s="34" t="s">
        <v>408</v>
      </c>
      <c r="D152" s="34" t="s">
        <v>409</v>
      </c>
      <c r="E152" s="34" t="s">
        <v>410</v>
      </c>
      <c r="F152" s="34" t="s">
        <v>235</v>
      </c>
      <c r="G152" s="34"/>
      <c r="H152" s="34" t="s">
        <v>151</v>
      </c>
      <c r="I152" s="34">
        <v>70800</v>
      </c>
      <c r="J152" s="35" t="s">
        <v>237</v>
      </c>
      <c r="K152" s="35" t="s">
        <v>411</v>
      </c>
    </row>
    <row r="153" spans="1:11" ht="24" customHeight="1">
      <c r="A153" s="33" t="s">
        <v>99</v>
      </c>
      <c r="B153" s="34" t="s">
        <v>412</v>
      </c>
      <c r="C153" s="34" t="s">
        <v>413</v>
      </c>
      <c r="D153" s="34" t="s">
        <v>414</v>
      </c>
      <c r="E153" s="34"/>
      <c r="F153" s="34" t="s">
        <v>157</v>
      </c>
      <c r="G153" s="34"/>
      <c r="H153" s="34" t="s">
        <v>151</v>
      </c>
      <c r="I153" s="34" t="s">
        <v>692</v>
      </c>
      <c r="J153" s="35" t="s">
        <v>159</v>
      </c>
      <c r="K153" s="35"/>
    </row>
    <row r="154" spans="1:11" ht="45.95">
      <c r="A154" s="33" t="s">
        <v>99</v>
      </c>
      <c r="B154" s="34" t="s">
        <v>416</v>
      </c>
      <c r="C154" s="34" t="s">
        <v>417</v>
      </c>
      <c r="D154" s="34" t="s">
        <v>416</v>
      </c>
      <c r="E154" s="34" t="s">
        <v>418</v>
      </c>
      <c r="F154" s="34" t="s">
        <v>259</v>
      </c>
      <c r="G154" s="34"/>
      <c r="H154" s="34" t="s">
        <v>151</v>
      </c>
      <c r="I154" s="34" t="s">
        <v>693</v>
      </c>
      <c r="J154" s="35" t="s">
        <v>261</v>
      </c>
      <c r="K154" s="35" t="s">
        <v>420</v>
      </c>
    </row>
    <row r="155" spans="1:11" ht="24" customHeight="1">
      <c r="A155" s="33" t="s">
        <v>99</v>
      </c>
      <c r="B155" s="34" t="s">
        <v>421</v>
      </c>
      <c r="C155" s="34" t="s">
        <v>422</v>
      </c>
      <c r="D155" s="34" t="s">
        <v>423</v>
      </c>
      <c r="E155" s="34"/>
      <c r="F155" s="34" t="s">
        <v>157</v>
      </c>
      <c r="G155" s="34"/>
      <c r="H155" s="34" t="s">
        <v>151</v>
      </c>
      <c r="I155" s="34" t="s">
        <v>694</v>
      </c>
      <c r="J155" s="35" t="s">
        <v>159</v>
      </c>
      <c r="K155" s="35"/>
    </row>
    <row r="156" spans="1:11" ht="24" customHeight="1">
      <c r="A156" s="33" t="s">
        <v>99</v>
      </c>
      <c r="B156" s="34" t="s">
        <v>425</v>
      </c>
      <c r="C156" s="34" t="s">
        <v>426</v>
      </c>
      <c r="D156" s="34" t="s">
        <v>425</v>
      </c>
      <c r="E156" s="34" t="s">
        <v>427</v>
      </c>
      <c r="F156" s="34" t="s">
        <v>403</v>
      </c>
      <c r="G156" s="34"/>
      <c r="H156" s="34" t="s">
        <v>151</v>
      </c>
      <c r="I156" s="34" t="s">
        <v>695</v>
      </c>
      <c r="J156" s="35" t="s">
        <v>405</v>
      </c>
      <c r="K156" s="35" t="s">
        <v>429</v>
      </c>
    </row>
    <row r="157" spans="1:11" ht="34.5">
      <c r="A157" s="33" t="s">
        <v>99</v>
      </c>
      <c r="B157" s="34" t="s">
        <v>430</v>
      </c>
      <c r="C157" s="34" t="s">
        <v>431</v>
      </c>
      <c r="D157" s="34" t="s">
        <v>432</v>
      </c>
      <c r="E157" s="34" t="s">
        <v>433</v>
      </c>
      <c r="F157" s="34" t="s">
        <v>187</v>
      </c>
      <c r="G157" s="34"/>
      <c r="H157" s="34" t="s">
        <v>151</v>
      </c>
      <c r="I157" s="34">
        <v>76</v>
      </c>
      <c r="J157" s="35" t="s">
        <v>189</v>
      </c>
      <c r="K157" s="35" t="s">
        <v>434</v>
      </c>
    </row>
    <row r="158" spans="1:11" ht="24" customHeight="1">
      <c r="A158" s="33" t="s">
        <v>99</v>
      </c>
      <c r="B158" s="34" t="s">
        <v>435</v>
      </c>
      <c r="C158" s="34" t="s">
        <v>436</v>
      </c>
      <c r="D158" s="34" t="s">
        <v>437</v>
      </c>
      <c r="E158" s="34"/>
      <c r="F158" s="34" t="s">
        <v>205</v>
      </c>
      <c r="G158" s="34"/>
      <c r="H158" s="34" t="s">
        <v>151</v>
      </c>
      <c r="I158" s="34" t="s">
        <v>696</v>
      </c>
      <c r="J158" s="35" t="s">
        <v>206</v>
      </c>
      <c r="K158" s="35"/>
    </row>
    <row r="159" spans="1:11" ht="23.1">
      <c r="A159" s="33" t="s">
        <v>99</v>
      </c>
      <c r="B159" s="34" t="s">
        <v>438</v>
      </c>
      <c r="C159" s="34" t="s">
        <v>439</v>
      </c>
      <c r="D159" s="34" t="s">
        <v>440</v>
      </c>
      <c r="E159" s="34" t="s">
        <v>441</v>
      </c>
      <c r="F159" s="34" t="s">
        <v>187</v>
      </c>
      <c r="G159" s="34"/>
      <c r="H159" s="34" t="s">
        <v>151</v>
      </c>
      <c r="I159" s="34">
        <v>61</v>
      </c>
      <c r="J159" s="35" t="s">
        <v>189</v>
      </c>
      <c r="K159" s="35" t="s">
        <v>442</v>
      </c>
    </row>
    <row r="160" spans="1:11" ht="24" customHeight="1">
      <c r="A160" s="33" t="s">
        <v>99</v>
      </c>
      <c r="B160" s="34" t="s">
        <v>443</v>
      </c>
      <c r="C160" s="34" t="s">
        <v>444</v>
      </c>
      <c r="D160" s="34" t="s">
        <v>445</v>
      </c>
      <c r="E160" s="34"/>
      <c r="F160" s="34" t="s">
        <v>157</v>
      </c>
      <c r="G160" s="34"/>
      <c r="H160" s="34" t="s">
        <v>151</v>
      </c>
      <c r="I160" s="34" t="s">
        <v>696</v>
      </c>
      <c r="J160" s="35" t="s">
        <v>159</v>
      </c>
      <c r="K160" s="35"/>
    </row>
    <row r="161" spans="1:11" ht="23.1">
      <c r="A161" s="33" t="s">
        <v>99</v>
      </c>
      <c r="B161" s="34" t="s">
        <v>447</v>
      </c>
      <c r="C161" s="34" t="s">
        <v>448</v>
      </c>
      <c r="D161" s="34" t="s">
        <v>449</v>
      </c>
      <c r="E161" s="34" t="s">
        <v>450</v>
      </c>
      <c r="F161" s="34" t="s">
        <v>223</v>
      </c>
      <c r="G161" s="34"/>
      <c r="H161" s="34" t="s">
        <v>151</v>
      </c>
      <c r="I161" s="34" t="s">
        <v>697</v>
      </c>
      <c r="J161" s="35" t="s">
        <v>225</v>
      </c>
      <c r="K161" s="35" t="s">
        <v>452</v>
      </c>
    </row>
    <row r="162" spans="1:11" ht="24" customHeight="1">
      <c r="A162" s="33" t="s">
        <v>99</v>
      </c>
      <c r="B162" s="34" t="s">
        <v>453</v>
      </c>
      <c r="C162" s="34" t="s">
        <v>454</v>
      </c>
      <c r="D162" s="34" t="s">
        <v>455</v>
      </c>
      <c r="E162" s="34"/>
      <c r="F162" s="34" t="s">
        <v>157</v>
      </c>
      <c r="G162" s="34"/>
      <c r="H162" s="34" t="s">
        <v>151</v>
      </c>
      <c r="I162" s="34" t="s">
        <v>698</v>
      </c>
      <c r="J162" s="35" t="s">
        <v>159</v>
      </c>
      <c r="K162" s="35"/>
    </row>
    <row r="163" spans="1:11" ht="23.1">
      <c r="A163" s="33" t="s">
        <v>99</v>
      </c>
      <c r="B163" s="34" t="s">
        <v>457</v>
      </c>
      <c r="C163" s="34" t="s">
        <v>458</v>
      </c>
      <c r="D163" s="34" t="s">
        <v>459</v>
      </c>
      <c r="E163" s="34" t="s">
        <v>460</v>
      </c>
      <c r="F163" s="34" t="s">
        <v>223</v>
      </c>
      <c r="G163" s="34"/>
      <c r="H163" s="34" t="s">
        <v>151</v>
      </c>
      <c r="I163" s="34" t="s">
        <v>699</v>
      </c>
      <c r="J163" s="35" t="s">
        <v>225</v>
      </c>
      <c r="K163" s="35" t="s">
        <v>462</v>
      </c>
    </row>
    <row r="164" spans="1:11" ht="24" customHeight="1">
      <c r="A164" s="33" t="s">
        <v>99</v>
      </c>
      <c r="B164" s="34" t="s">
        <v>463</v>
      </c>
      <c r="C164" s="34" t="s">
        <v>464</v>
      </c>
      <c r="D164" s="34" t="s">
        <v>465</v>
      </c>
      <c r="E164" s="34"/>
      <c r="F164" s="34" t="s">
        <v>157</v>
      </c>
      <c r="G164" s="34"/>
      <c r="H164" s="34" t="s">
        <v>151</v>
      </c>
      <c r="I164" s="34" t="s">
        <v>700</v>
      </c>
      <c r="J164" s="35" t="s">
        <v>159</v>
      </c>
      <c r="K164" s="35"/>
    </row>
    <row r="165" spans="1:11" ht="23.1">
      <c r="A165" s="33" t="s">
        <v>99</v>
      </c>
      <c r="B165" s="34" t="s">
        <v>467</v>
      </c>
      <c r="C165" s="34" t="s">
        <v>468</v>
      </c>
      <c r="D165" s="34" t="s">
        <v>469</v>
      </c>
      <c r="E165" s="34" t="s">
        <v>470</v>
      </c>
      <c r="F165" s="34" t="s">
        <v>175</v>
      </c>
      <c r="G165" s="34"/>
      <c r="H165" s="34" t="s">
        <v>151</v>
      </c>
      <c r="I165" s="34" t="s">
        <v>23</v>
      </c>
      <c r="J165" s="35" t="s">
        <v>177</v>
      </c>
      <c r="K165" s="35" t="s">
        <v>471</v>
      </c>
    </row>
    <row r="166" spans="1:11" ht="24" customHeight="1">
      <c r="A166" s="33" t="s">
        <v>99</v>
      </c>
      <c r="B166" s="34" t="s">
        <v>472</v>
      </c>
      <c r="C166" s="34" t="s">
        <v>473</v>
      </c>
      <c r="D166" s="34" t="s">
        <v>474</v>
      </c>
      <c r="E166" s="34"/>
      <c r="F166" s="34" t="s">
        <v>157</v>
      </c>
      <c r="G166" s="34"/>
      <c r="H166" s="34" t="s">
        <v>151</v>
      </c>
      <c r="I166" s="34" t="s">
        <v>701</v>
      </c>
      <c r="J166" s="35" t="s">
        <v>159</v>
      </c>
      <c r="K166" s="35"/>
    </row>
    <row r="167" spans="1:11" ht="42.75" customHeight="1">
      <c r="A167" s="33" t="s">
        <v>99</v>
      </c>
      <c r="B167" s="34" t="s">
        <v>476</v>
      </c>
      <c r="C167" s="34" t="s">
        <v>477</v>
      </c>
      <c r="D167" s="34" t="s">
        <v>478</v>
      </c>
      <c r="E167" s="34" t="s">
        <v>479</v>
      </c>
      <c r="F167" s="34" t="s">
        <v>175</v>
      </c>
      <c r="G167" s="34"/>
      <c r="H167" s="34" t="s">
        <v>151</v>
      </c>
      <c r="I167" s="34" t="s">
        <v>23</v>
      </c>
      <c r="J167" s="35" t="s">
        <v>177</v>
      </c>
      <c r="K167" s="35" t="s">
        <v>480</v>
      </c>
    </row>
    <row r="168" spans="1:11" ht="32.25" customHeight="1">
      <c r="A168" s="33" t="s">
        <v>99</v>
      </c>
      <c r="B168" s="34" t="s">
        <v>481</v>
      </c>
      <c r="C168" s="34" t="s">
        <v>482</v>
      </c>
      <c r="D168" s="34" t="s">
        <v>483</v>
      </c>
      <c r="E168" s="34"/>
      <c r="F168" s="34" t="s">
        <v>157</v>
      </c>
      <c r="G168" s="34"/>
      <c r="H168" s="34" t="s">
        <v>151</v>
      </c>
      <c r="I168" s="34" t="s">
        <v>701</v>
      </c>
      <c r="J168" s="35" t="s">
        <v>159</v>
      </c>
      <c r="K168" s="35"/>
    </row>
    <row r="169" spans="1:11" ht="63" customHeight="1">
      <c r="A169" s="33" t="s">
        <v>99</v>
      </c>
      <c r="B169" s="34" t="s">
        <v>484</v>
      </c>
      <c r="C169" s="34" t="s">
        <v>485</v>
      </c>
      <c r="D169" s="34" t="s">
        <v>486</v>
      </c>
      <c r="E169" s="34" t="s">
        <v>487</v>
      </c>
      <c r="F169" s="34" t="s">
        <v>488</v>
      </c>
      <c r="G169" s="34"/>
      <c r="H169" s="34" t="s">
        <v>151</v>
      </c>
      <c r="I169" s="34" t="s">
        <v>702</v>
      </c>
      <c r="J169" s="35" t="s">
        <v>490</v>
      </c>
      <c r="K169" s="35" t="s">
        <v>491</v>
      </c>
    </row>
    <row r="170" spans="1:11" ht="24" customHeight="1">
      <c r="A170" s="33" t="s">
        <v>99</v>
      </c>
      <c r="B170" s="34" t="s">
        <v>492</v>
      </c>
      <c r="C170" s="34" t="s">
        <v>493</v>
      </c>
      <c r="D170" s="34" t="s">
        <v>494</v>
      </c>
      <c r="E170" s="34"/>
      <c r="F170" s="34" t="s">
        <v>397</v>
      </c>
      <c r="G170" s="34"/>
      <c r="H170" s="34" t="s">
        <v>151</v>
      </c>
      <c r="I170" s="34" t="s">
        <v>703</v>
      </c>
      <c r="J170" s="35" t="s">
        <v>399</v>
      </c>
      <c r="K170" s="35"/>
    </row>
    <row r="171" spans="1:11" ht="34.5">
      <c r="A171" s="33" t="s">
        <v>99</v>
      </c>
      <c r="B171" s="34" t="s">
        <v>496</v>
      </c>
      <c r="C171" s="34" t="s">
        <v>497</v>
      </c>
      <c r="D171" s="34" t="s">
        <v>498</v>
      </c>
      <c r="E171" s="34" t="s">
        <v>499</v>
      </c>
      <c r="F171" s="34" t="s">
        <v>187</v>
      </c>
      <c r="G171" s="34"/>
      <c r="H171" s="34" t="s">
        <v>151</v>
      </c>
      <c r="I171" s="34" t="s">
        <v>704</v>
      </c>
      <c r="J171" s="35" t="s">
        <v>189</v>
      </c>
      <c r="K171" s="35" t="s">
        <v>501</v>
      </c>
    </row>
    <row r="172" spans="1:11" ht="24" customHeight="1">
      <c r="A172" s="33" t="s">
        <v>99</v>
      </c>
      <c r="B172" s="34" t="s">
        <v>502</v>
      </c>
      <c r="C172" s="34" t="s">
        <v>503</v>
      </c>
      <c r="D172" s="34" t="s">
        <v>504</v>
      </c>
      <c r="E172" s="34"/>
      <c r="F172" s="34" t="s">
        <v>505</v>
      </c>
      <c r="G172" s="34"/>
      <c r="H172" s="34" t="s">
        <v>151</v>
      </c>
      <c r="I172" s="34" t="s">
        <v>705</v>
      </c>
      <c r="J172" s="35" t="s">
        <v>507</v>
      </c>
      <c r="K172" s="35"/>
    </row>
    <row r="173" spans="1:11" ht="34.5">
      <c r="A173" s="33" t="s">
        <v>99</v>
      </c>
      <c r="B173" s="34" t="s">
        <v>508</v>
      </c>
      <c r="C173" s="34" t="s">
        <v>509</v>
      </c>
      <c r="D173" s="34" t="s">
        <v>510</v>
      </c>
      <c r="E173" s="34" t="s">
        <v>511</v>
      </c>
      <c r="F173" s="34" t="s">
        <v>187</v>
      </c>
      <c r="G173" s="34"/>
      <c r="H173" s="34" t="s">
        <v>151</v>
      </c>
      <c r="I173" s="34" t="s">
        <v>704</v>
      </c>
      <c r="J173" s="35" t="s">
        <v>189</v>
      </c>
      <c r="K173" s="35" t="s">
        <v>512</v>
      </c>
    </row>
    <row r="174" spans="1:11" ht="24" customHeight="1">
      <c r="A174" s="33" t="s">
        <v>99</v>
      </c>
      <c r="B174" s="34" t="s">
        <v>513</v>
      </c>
      <c r="C174" s="34" t="s">
        <v>514</v>
      </c>
      <c r="D174" s="34" t="s">
        <v>515</v>
      </c>
      <c r="E174" s="34"/>
      <c r="F174" s="34" t="s">
        <v>505</v>
      </c>
      <c r="G174" s="34"/>
      <c r="H174" s="34" t="s">
        <v>151</v>
      </c>
      <c r="I174" s="34" t="s">
        <v>705</v>
      </c>
      <c r="J174" s="35" t="s">
        <v>507</v>
      </c>
      <c r="K174" s="35"/>
    </row>
    <row r="175" spans="1:11" ht="57.6">
      <c r="A175" s="33" t="s">
        <v>99</v>
      </c>
      <c r="B175" s="34" t="s">
        <v>516</v>
      </c>
      <c r="C175" s="34" t="s">
        <v>517</v>
      </c>
      <c r="D175" s="34" t="s">
        <v>518</v>
      </c>
      <c r="E175" s="34" t="s">
        <v>519</v>
      </c>
      <c r="F175" s="34" t="s">
        <v>273</v>
      </c>
      <c r="G175" s="34"/>
      <c r="H175" s="34" t="s">
        <v>151</v>
      </c>
      <c r="I175" s="34" t="s">
        <v>23</v>
      </c>
      <c r="J175" s="35" t="s">
        <v>275</v>
      </c>
      <c r="K175" s="35" t="s">
        <v>521</v>
      </c>
    </row>
    <row r="176" spans="1:11" ht="24" customHeight="1">
      <c r="A176" s="33" t="s">
        <v>99</v>
      </c>
      <c r="B176" s="34" t="s">
        <v>522</v>
      </c>
      <c r="C176" s="34" t="s">
        <v>523</v>
      </c>
      <c r="D176" s="34" t="s">
        <v>524</v>
      </c>
      <c r="E176" s="34"/>
      <c r="F176" s="34" t="s">
        <v>157</v>
      </c>
      <c r="G176" s="34"/>
      <c r="H176" s="34" t="s">
        <v>151</v>
      </c>
      <c r="I176" s="34" t="s">
        <v>23</v>
      </c>
      <c r="J176" s="35" t="s">
        <v>159</v>
      </c>
      <c r="K176" s="35"/>
    </row>
    <row r="177" spans="1:11" ht="34.5">
      <c r="A177" s="33" t="s">
        <v>99</v>
      </c>
      <c r="B177" s="34" t="s">
        <v>526</v>
      </c>
      <c r="C177" s="34" t="s">
        <v>527</v>
      </c>
      <c r="D177" s="34" t="s">
        <v>528</v>
      </c>
      <c r="E177" s="34" t="s">
        <v>706</v>
      </c>
      <c r="F177" s="34" t="s">
        <v>175</v>
      </c>
      <c r="G177" s="34"/>
      <c r="H177" s="34" t="s">
        <v>151</v>
      </c>
      <c r="I177" s="34" t="s">
        <v>23</v>
      </c>
      <c r="J177" s="35" t="s">
        <v>177</v>
      </c>
      <c r="K177" s="35" t="s">
        <v>531</v>
      </c>
    </row>
    <row r="178" spans="1:11" ht="24" customHeight="1">
      <c r="A178" s="33" t="s">
        <v>99</v>
      </c>
      <c r="B178" s="34" t="s">
        <v>532</v>
      </c>
      <c r="C178" s="34" t="s">
        <v>533</v>
      </c>
      <c r="D178" s="34" t="s">
        <v>534</v>
      </c>
      <c r="E178" s="34"/>
      <c r="F178" s="34" t="s">
        <v>535</v>
      </c>
      <c r="G178" s="34"/>
      <c r="H178" s="34" t="s">
        <v>151</v>
      </c>
      <c r="I178" s="34" t="s">
        <v>666</v>
      </c>
      <c r="J178" s="35" t="s">
        <v>537</v>
      </c>
      <c r="K178" s="35"/>
    </row>
    <row r="179" spans="1:11" ht="92.1">
      <c r="A179" s="33" t="s">
        <v>99</v>
      </c>
      <c r="B179" s="34" t="s">
        <v>538</v>
      </c>
      <c r="C179" s="34" t="s">
        <v>538</v>
      </c>
      <c r="D179" s="34" t="s">
        <v>539</v>
      </c>
      <c r="E179" s="34" t="s">
        <v>540</v>
      </c>
      <c r="F179" s="34" t="s">
        <v>187</v>
      </c>
      <c r="G179" s="34"/>
      <c r="H179" s="34" t="s">
        <v>151</v>
      </c>
      <c r="I179" s="34" t="s">
        <v>23</v>
      </c>
      <c r="J179" s="35" t="s">
        <v>189</v>
      </c>
      <c r="K179" s="35" t="s">
        <v>542</v>
      </c>
    </row>
    <row r="180" spans="1:11" ht="24" customHeight="1">
      <c r="A180" s="33" t="s">
        <v>99</v>
      </c>
      <c r="B180" s="34" t="s">
        <v>543</v>
      </c>
      <c r="C180" s="34" t="s">
        <v>543</v>
      </c>
      <c r="D180" s="34" t="s">
        <v>544</v>
      </c>
      <c r="E180" s="34"/>
      <c r="F180" s="34" t="s">
        <v>545</v>
      </c>
      <c r="G180" s="34"/>
      <c r="H180" s="34" t="s">
        <v>151</v>
      </c>
      <c r="I180" s="34" t="s">
        <v>707</v>
      </c>
      <c r="J180" s="35" t="s">
        <v>546</v>
      </c>
      <c r="K180" s="35"/>
    </row>
    <row r="181" spans="1:11" ht="69">
      <c r="A181" s="33" t="s">
        <v>99</v>
      </c>
      <c r="B181" s="34" t="s">
        <v>547</v>
      </c>
      <c r="C181" s="34" t="s">
        <v>548</v>
      </c>
      <c r="D181" s="34" t="s">
        <v>549</v>
      </c>
      <c r="E181" s="34" t="s">
        <v>550</v>
      </c>
      <c r="F181" s="34" t="s">
        <v>259</v>
      </c>
      <c r="G181" s="34"/>
      <c r="H181" s="34" t="s">
        <v>151</v>
      </c>
      <c r="I181" s="34" t="s">
        <v>708</v>
      </c>
      <c r="J181" s="35" t="s">
        <v>261</v>
      </c>
      <c r="K181" s="35" t="s">
        <v>552</v>
      </c>
    </row>
    <row r="182" spans="1:11" ht="24" customHeight="1">
      <c r="A182" s="33" t="s">
        <v>99</v>
      </c>
      <c r="B182" s="34" t="s">
        <v>553</v>
      </c>
      <c r="C182" s="34" t="s">
        <v>554</v>
      </c>
      <c r="D182" s="34" t="s">
        <v>555</v>
      </c>
      <c r="E182" s="34"/>
      <c r="F182" s="34" t="s">
        <v>157</v>
      </c>
      <c r="G182" s="34"/>
      <c r="H182" s="34" t="s">
        <v>151</v>
      </c>
      <c r="I182" s="34" t="s">
        <v>709</v>
      </c>
      <c r="J182" s="35" t="s">
        <v>159</v>
      </c>
      <c r="K182" s="35"/>
    </row>
    <row r="183" spans="1:11" ht="45.95">
      <c r="A183" s="33" t="s">
        <v>99</v>
      </c>
      <c r="B183" s="34" t="s">
        <v>557</v>
      </c>
      <c r="C183" s="34" t="s">
        <v>558</v>
      </c>
      <c r="D183" s="34" t="s">
        <v>559</v>
      </c>
      <c r="E183" s="34" t="s">
        <v>560</v>
      </c>
      <c r="F183" s="34" t="s">
        <v>290</v>
      </c>
      <c r="G183" s="34"/>
      <c r="H183" s="34" t="s">
        <v>151</v>
      </c>
      <c r="I183" s="34">
        <v>3546669</v>
      </c>
      <c r="J183" s="35" t="s">
        <v>292</v>
      </c>
      <c r="K183" s="35" t="s">
        <v>561</v>
      </c>
    </row>
    <row r="184" spans="1:11" ht="24" customHeight="1">
      <c r="A184" s="33" t="s">
        <v>99</v>
      </c>
      <c r="B184" s="34" t="s">
        <v>562</v>
      </c>
      <c r="C184" s="34" t="s">
        <v>563</v>
      </c>
      <c r="D184" s="34" t="s">
        <v>564</v>
      </c>
      <c r="E184" s="34"/>
      <c r="F184" s="34" t="s">
        <v>335</v>
      </c>
      <c r="G184" s="34"/>
      <c r="H184" s="34" t="s">
        <v>151</v>
      </c>
      <c r="I184" s="34" t="s">
        <v>710</v>
      </c>
      <c r="J184" s="35" t="s">
        <v>337</v>
      </c>
      <c r="K184" s="35"/>
    </row>
    <row r="185" spans="1:11" ht="24" customHeight="1">
      <c r="A185" s="33" t="s">
        <v>99</v>
      </c>
      <c r="B185" s="34" t="s">
        <v>566</v>
      </c>
      <c r="C185" s="34" t="s">
        <v>567</v>
      </c>
      <c r="D185" s="34" t="s">
        <v>568</v>
      </c>
      <c r="E185" s="34" t="s">
        <v>569</v>
      </c>
      <c r="F185" s="34" t="s">
        <v>273</v>
      </c>
      <c r="G185" s="34"/>
      <c r="H185" s="34" t="s">
        <v>151</v>
      </c>
      <c r="I185" s="34" t="s">
        <v>711</v>
      </c>
      <c r="J185" s="35" t="s">
        <v>275</v>
      </c>
      <c r="K185" s="35" t="s">
        <v>571</v>
      </c>
    </row>
    <row r="186" spans="1:11" ht="24" customHeight="1">
      <c r="A186" s="33" t="s">
        <v>99</v>
      </c>
      <c r="B186" s="34" t="s">
        <v>572</v>
      </c>
      <c r="C186" s="34" t="s">
        <v>573</v>
      </c>
      <c r="D186" s="34" t="s">
        <v>574</v>
      </c>
      <c r="E186" s="34"/>
      <c r="F186" s="34" t="s">
        <v>157</v>
      </c>
      <c r="G186" s="34"/>
      <c r="H186" s="34" t="s">
        <v>151</v>
      </c>
      <c r="I186" s="34" t="s">
        <v>712</v>
      </c>
      <c r="J186" s="35" t="s">
        <v>159</v>
      </c>
      <c r="K186" s="35"/>
    </row>
    <row r="187" spans="1:11" ht="45.95">
      <c r="A187" s="33" t="s">
        <v>99</v>
      </c>
      <c r="B187" s="34" t="s">
        <v>576</v>
      </c>
      <c r="C187" s="34" t="s">
        <v>577</v>
      </c>
      <c r="D187" s="34" t="s">
        <v>578</v>
      </c>
      <c r="E187" s="34" t="s">
        <v>579</v>
      </c>
      <c r="F187" s="34" t="s">
        <v>290</v>
      </c>
      <c r="G187" s="34"/>
      <c r="H187" s="34" t="s">
        <v>151</v>
      </c>
      <c r="I187" s="34">
        <v>3546669</v>
      </c>
      <c r="J187" s="35" t="s">
        <v>292</v>
      </c>
      <c r="K187" s="35" t="s">
        <v>580</v>
      </c>
    </row>
    <row r="188" spans="1:11" ht="24" customHeight="1">
      <c r="A188" s="33" t="s">
        <v>99</v>
      </c>
      <c r="B188" s="34" t="s">
        <v>581</v>
      </c>
      <c r="C188" s="34" t="s">
        <v>582</v>
      </c>
      <c r="D188" s="34" t="s">
        <v>583</v>
      </c>
      <c r="E188" s="34"/>
      <c r="F188" s="34" t="s">
        <v>335</v>
      </c>
      <c r="G188" s="34"/>
      <c r="H188" s="34" t="s">
        <v>151</v>
      </c>
      <c r="I188" s="34" t="s">
        <v>710</v>
      </c>
      <c r="J188" s="35" t="s">
        <v>337</v>
      </c>
      <c r="K188" s="35"/>
    </row>
    <row r="189" spans="1:11" ht="24" customHeight="1">
      <c r="A189" s="33" t="s">
        <v>99</v>
      </c>
      <c r="B189" s="34" t="s">
        <v>584</v>
      </c>
      <c r="C189" s="34" t="s">
        <v>585</v>
      </c>
      <c r="D189" s="34" t="s">
        <v>586</v>
      </c>
      <c r="E189" s="34" t="s">
        <v>587</v>
      </c>
      <c r="F189" s="34" t="s">
        <v>273</v>
      </c>
      <c r="G189" s="34"/>
      <c r="H189" s="34" t="s">
        <v>151</v>
      </c>
      <c r="I189" s="34" t="s">
        <v>713</v>
      </c>
      <c r="J189" s="35" t="s">
        <v>275</v>
      </c>
      <c r="K189" s="35" t="s">
        <v>589</v>
      </c>
    </row>
    <row r="190" spans="1:11" ht="24" customHeight="1">
      <c r="A190" s="33" t="s">
        <v>99</v>
      </c>
      <c r="B190" s="34" t="s">
        <v>590</v>
      </c>
      <c r="C190" s="34" t="s">
        <v>591</v>
      </c>
      <c r="D190" s="34" t="s">
        <v>592</v>
      </c>
      <c r="E190" s="34"/>
      <c r="F190" s="34" t="s">
        <v>157</v>
      </c>
      <c r="G190" s="34"/>
      <c r="H190" s="34" t="s">
        <v>151</v>
      </c>
      <c r="I190" s="34" t="s">
        <v>712</v>
      </c>
      <c r="J190" s="35" t="s">
        <v>159</v>
      </c>
      <c r="K190" s="35"/>
    </row>
    <row r="191" spans="1:11" ht="24" customHeight="1">
      <c r="A191" s="33" t="s">
        <v>99</v>
      </c>
      <c r="B191" s="34" t="s">
        <v>593</v>
      </c>
      <c r="C191" s="34" t="s">
        <v>594</v>
      </c>
      <c r="D191" s="34" t="s">
        <v>595</v>
      </c>
      <c r="E191" s="34" t="s">
        <v>596</v>
      </c>
      <c r="F191" s="34" t="s">
        <v>223</v>
      </c>
      <c r="G191" s="34"/>
      <c r="H191" s="34" t="s">
        <v>151</v>
      </c>
      <c r="I191" s="34" t="s">
        <v>714</v>
      </c>
      <c r="J191" s="35" t="s">
        <v>225</v>
      </c>
      <c r="K191" s="35" t="s">
        <v>598</v>
      </c>
    </row>
    <row r="192" spans="1:11" ht="24" customHeight="1">
      <c r="A192" s="33" t="s">
        <v>99</v>
      </c>
      <c r="B192" s="34" t="s">
        <v>599</v>
      </c>
      <c r="C192" s="34" t="s">
        <v>600</v>
      </c>
      <c r="D192" s="34" t="s">
        <v>601</v>
      </c>
      <c r="E192" s="34"/>
      <c r="F192" s="34" t="s">
        <v>157</v>
      </c>
      <c r="G192" s="34"/>
      <c r="H192" s="34" t="s">
        <v>151</v>
      </c>
      <c r="I192" s="34" t="s">
        <v>715</v>
      </c>
      <c r="J192" s="35" t="s">
        <v>159</v>
      </c>
      <c r="K192" s="35"/>
    </row>
    <row r="193" spans="1:11" ht="24" customHeight="1">
      <c r="A193" s="33" t="s">
        <v>99</v>
      </c>
      <c r="B193" s="34" t="s">
        <v>603</v>
      </c>
      <c r="C193" s="34" t="s">
        <v>604</v>
      </c>
      <c r="D193" s="34" t="s">
        <v>605</v>
      </c>
      <c r="E193" s="34" t="s">
        <v>606</v>
      </c>
      <c r="F193" s="34" t="s">
        <v>223</v>
      </c>
      <c r="G193" s="34"/>
      <c r="H193" s="34" t="s">
        <v>151</v>
      </c>
      <c r="I193" s="34" t="s">
        <v>714</v>
      </c>
      <c r="J193" s="35" t="s">
        <v>225</v>
      </c>
      <c r="K193" s="35" t="s">
        <v>607</v>
      </c>
    </row>
    <row r="194" spans="1:11" ht="24" customHeight="1">
      <c r="A194" s="33" t="s">
        <v>99</v>
      </c>
      <c r="B194" s="34" t="s">
        <v>608</v>
      </c>
      <c r="C194" s="34" t="s">
        <v>609</v>
      </c>
      <c r="D194" s="34" t="s">
        <v>610</v>
      </c>
      <c r="E194" s="34"/>
      <c r="F194" s="34" t="s">
        <v>157</v>
      </c>
      <c r="G194" s="34"/>
      <c r="H194" s="34" t="s">
        <v>151</v>
      </c>
      <c r="I194" s="34" t="s">
        <v>715</v>
      </c>
      <c r="J194" s="35" t="s">
        <v>159</v>
      </c>
      <c r="K194" s="35"/>
    </row>
    <row r="195" spans="1:11" ht="45.95">
      <c r="A195" s="33" t="s">
        <v>99</v>
      </c>
      <c r="B195" s="34" t="s">
        <v>611</v>
      </c>
      <c r="C195" s="34" t="s">
        <v>612</v>
      </c>
      <c r="D195" s="34" t="s">
        <v>613</v>
      </c>
      <c r="E195" s="34" t="s">
        <v>614</v>
      </c>
      <c r="F195" s="34" t="s">
        <v>290</v>
      </c>
      <c r="G195" s="34"/>
      <c r="H195" s="34" t="s">
        <v>151</v>
      </c>
      <c r="I195" s="34" t="s">
        <v>702</v>
      </c>
      <c r="J195" s="35" t="s">
        <v>292</v>
      </c>
      <c r="K195" s="35" t="s">
        <v>616</v>
      </c>
    </row>
    <row r="196" spans="1:11" ht="24" customHeight="1">
      <c r="A196" s="33" t="s">
        <v>99</v>
      </c>
      <c r="B196" s="34" t="s">
        <v>617</v>
      </c>
      <c r="C196" s="34" t="s">
        <v>618</v>
      </c>
      <c r="D196" s="34" t="s">
        <v>619</v>
      </c>
      <c r="E196" s="34"/>
      <c r="F196" s="34" t="s">
        <v>397</v>
      </c>
      <c r="G196" s="34"/>
      <c r="H196" s="34" t="s">
        <v>151</v>
      </c>
      <c r="I196" s="34" t="s">
        <v>703</v>
      </c>
      <c r="J196" s="35" t="s">
        <v>399</v>
      </c>
      <c r="K196" s="35"/>
    </row>
    <row r="197" spans="1:11" ht="36" customHeight="1">
      <c r="A197" s="33" t="s">
        <v>99</v>
      </c>
      <c r="B197" s="34" t="s">
        <v>716</v>
      </c>
      <c r="C197" s="34" t="s">
        <v>717</v>
      </c>
      <c r="D197" s="34" t="s">
        <v>718</v>
      </c>
      <c r="E197" s="34" t="s">
        <v>719</v>
      </c>
      <c r="F197" s="34" t="s">
        <v>625</v>
      </c>
      <c r="G197" s="34"/>
      <c r="H197" s="34" t="s">
        <v>151</v>
      </c>
      <c r="I197" s="34" t="s">
        <v>720</v>
      </c>
      <c r="J197" s="35" t="s">
        <v>627</v>
      </c>
      <c r="K197" s="35" t="s">
        <v>721</v>
      </c>
    </row>
    <row r="198" spans="1:11" ht="24" customHeight="1">
      <c r="A198" s="33" t="s">
        <v>99</v>
      </c>
      <c r="B198" s="34" t="s">
        <v>722</v>
      </c>
      <c r="C198" s="34" t="s">
        <v>723</v>
      </c>
      <c r="D198" s="34" t="s">
        <v>724</v>
      </c>
      <c r="E198" s="34" t="s">
        <v>725</v>
      </c>
      <c r="F198" s="34" t="s">
        <v>633</v>
      </c>
      <c r="G198" s="34"/>
      <c r="H198" s="34" t="s">
        <v>151</v>
      </c>
      <c r="I198" s="34">
        <v>1</v>
      </c>
      <c r="J198" s="35" t="s">
        <v>635</v>
      </c>
      <c r="K198" s="35" t="s">
        <v>726</v>
      </c>
    </row>
    <row r="199" spans="1:11" ht="24" customHeight="1">
      <c r="A199" s="33" t="s">
        <v>99</v>
      </c>
      <c r="B199" s="34" t="s">
        <v>727</v>
      </c>
      <c r="C199" s="34" t="s">
        <v>728</v>
      </c>
      <c r="D199" s="34" t="s">
        <v>729</v>
      </c>
      <c r="E199" s="34" t="s">
        <v>730</v>
      </c>
      <c r="F199" s="34" t="s">
        <v>731</v>
      </c>
      <c r="G199" s="34"/>
      <c r="H199" s="34" t="s">
        <v>151</v>
      </c>
      <c r="I199" s="34">
        <v>-36.25</v>
      </c>
      <c r="J199" s="35" t="s">
        <v>732</v>
      </c>
      <c r="K199" s="35" t="s">
        <v>733</v>
      </c>
    </row>
    <row r="200" spans="1:11" ht="24" customHeight="1">
      <c r="A200" s="33" t="s">
        <v>99</v>
      </c>
      <c r="B200" s="34" t="s">
        <v>734</v>
      </c>
      <c r="C200" s="34" t="s">
        <v>735</v>
      </c>
      <c r="D200" s="34" t="s">
        <v>736</v>
      </c>
      <c r="E200" s="34" t="s">
        <v>737</v>
      </c>
      <c r="F200" s="34" t="s">
        <v>738</v>
      </c>
      <c r="G200" s="34"/>
      <c r="H200" s="34" t="s">
        <v>151</v>
      </c>
      <c r="I200" s="34" t="s">
        <v>739</v>
      </c>
      <c r="J200" s="35" t="s">
        <v>740</v>
      </c>
      <c r="K200" s="35" t="s">
        <v>741</v>
      </c>
    </row>
    <row r="201" spans="1:11" ht="24" customHeight="1">
      <c r="A201" s="33" t="s">
        <v>99</v>
      </c>
      <c r="B201" s="34" t="s">
        <v>742</v>
      </c>
      <c r="C201" s="34" t="s">
        <v>743</v>
      </c>
      <c r="D201" s="34" t="s">
        <v>744</v>
      </c>
      <c r="E201" s="34" t="s">
        <v>745</v>
      </c>
      <c r="F201" s="34" t="s">
        <v>738</v>
      </c>
      <c r="G201" s="34"/>
      <c r="H201" s="34" t="s">
        <v>151</v>
      </c>
      <c r="I201" s="34" t="s">
        <v>739</v>
      </c>
      <c r="J201" s="35" t="s">
        <v>740</v>
      </c>
      <c r="K201" s="35" t="s">
        <v>746</v>
      </c>
    </row>
    <row r="202" spans="1:11" ht="24" customHeight="1">
      <c r="A202" s="33" t="s">
        <v>99</v>
      </c>
      <c r="B202" s="34" t="s">
        <v>747</v>
      </c>
      <c r="C202" s="34" t="s">
        <v>748</v>
      </c>
      <c r="D202" s="34" t="s">
        <v>749</v>
      </c>
      <c r="E202" s="34" t="s">
        <v>750</v>
      </c>
      <c r="F202" s="34" t="s">
        <v>751</v>
      </c>
      <c r="G202" s="34"/>
      <c r="H202" s="34" t="s">
        <v>151</v>
      </c>
      <c r="I202" s="34">
        <v>0</v>
      </c>
      <c r="J202" s="35" t="s">
        <v>752</v>
      </c>
      <c r="K202" s="35" t="s">
        <v>753</v>
      </c>
    </row>
    <row r="203" spans="1:11" ht="36" customHeight="1">
      <c r="A203" s="33" t="s">
        <v>99</v>
      </c>
      <c r="B203" s="34" t="s">
        <v>754</v>
      </c>
      <c r="C203" s="34" t="s">
        <v>755</v>
      </c>
      <c r="D203" s="34" t="s">
        <v>756</v>
      </c>
      <c r="E203" s="34" t="s">
        <v>757</v>
      </c>
      <c r="F203" s="34" t="s">
        <v>738</v>
      </c>
      <c r="G203" s="34"/>
      <c r="H203" s="34" t="s">
        <v>151</v>
      </c>
      <c r="I203" s="34" t="s">
        <v>758</v>
      </c>
      <c r="J203" s="35" t="s">
        <v>740</v>
      </c>
      <c r="K203" s="35" t="s">
        <v>759</v>
      </c>
    </row>
    <row r="204" spans="1:11" ht="24" customHeight="1">
      <c r="A204" s="33" t="s">
        <v>99</v>
      </c>
      <c r="B204" s="34" t="s">
        <v>760</v>
      </c>
      <c r="C204" s="34" t="s">
        <v>761</v>
      </c>
      <c r="D204" s="34" t="s">
        <v>762</v>
      </c>
      <c r="E204" s="34" t="s">
        <v>763</v>
      </c>
      <c r="F204" s="34" t="s">
        <v>738</v>
      </c>
      <c r="G204" s="34"/>
      <c r="H204" s="34" t="s">
        <v>151</v>
      </c>
      <c r="I204" s="34" t="s">
        <v>764</v>
      </c>
      <c r="J204" s="35" t="s">
        <v>740</v>
      </c>
      <c r="K204" s="35" t="s">
        <v>765</v>
      </c>
    </row>
    <row r="205" spans="1:11" ht="24" customHeight="1">
      <c r="A205" s="33" t="s">
        <v>105</v>
      </c>
      <c r="B205" s="34" t="s">
        <v>146</v>
      </c>
      <c r="C205" s="34" t="s">
        <v>147</v>
      </c>
      <c r="D205" s="34" t="s">
        <v>148</v>
      </c>
      <c r="E205" s="34" t="s">
        <v>149</v>
      </c>
      <c r="F205" s="34" t="s">
        <v>150</v>
      </c>
      <c r="G205" s="34"/>
      <c r="H205" s="34" t="s">
        <v>151</v>
      </c>
      <c r="I205" s="34">
        <v>77</v>
      </c>
      <c r="J205" s="35" t="s">
        <v>152</v>
      </c>
      <c r="K205" s="35" t="s">
        <v>153</v>
      </c>
    </row>
    <row r="206" spans="1:11" ht="24" customHeight="1">
      <c r="A206" s="33" t="s">
        <v>105</v>
      </c>
      <c r="B206" s="34" t="s">
        <v>154</v>
      </c>
      <c r="C206" s="34" t="s">
        <v>155</v>
      </c>
      <c r="D206" s="34" t="s">
        <v>156</v>
      </c>
      <c r="E206" s="34"/>
      <c r="F206" s="34" t="s">
        <v>157</v>
      </c>
      <c r="G206" s="34"/>
      <c r="H206" s="34" t="s">
        <v>151</v>
      </c>
      <c r="I206" s="34" t="s">
        <v>766</v>
      </c>
      <c r="J206" s="35" t="s">
        <v>159</v>
      </c>
      <c r="K206" s="35"/>
    </row>
    <row r="207" spans="1:11" ht="24" customHeight="1">
      <c r="A207" s="33" t="s">
        <v>105</v>
      </c>
      <c r="B207" s="34" t="s">
        <v>160</v>
      </c>
      <c r="C207" s="34" t="s">
        <v>161</v>
      </c>
      <c r="D207" s="34" t="s">
        <v>162</v>
      </c>
      <c r="E207" s="34" t="s">
        <v>163</v>
      </c>
      <c r="F207" s="34" t="s">
        <v>164</v>
      </c>
      <c r="G207" s="34"/>
      <c r="H207" s="34" t="s">
        <v>151</v>
      </c>
      <c r="I207" s="34">
        <v>1751</v>
      </c>
      <c r="J207" s="35" t="s">
        <v>165</v>
      </c>
      <c r="K207" s="35" t="s">
        <v>166</v>
      </c>
    </row>
    <row r="208" spans="1:11" ht="24" customHeight="1">
      <c r="A208" s="33" t="s">
        <v>105</v>
      </c>
      <c r="B208" s="34" t="s">
        <v>167</v>
      </c>
      <c r="C208" s="34" t="s">
        <v>168</v>
      </c>
      <c r="D208" s="34" t="s">
        <v>169</v>
      </c>
      <c r="E208" s="34"/>
      <c r="F208" s="34" t="s">
        <v>157</v>
      </c>
      <c r="G208" s="34"/>
      <c r="H208" s="34" t="s">
        <v>151</v>
      </c>
      <c r="I208" s="34" t="s">
        <v>767</v>
      </c>
      <c r="J208" s="35" t="s">
        <v>159</v>
      </c>
      <c r="K208" s="35"/>
    </row>
    <row r="209" spans="1:11" ht="57.6">
      <c r="A209" s="33" t="s">
        <v>105</v>
      </c>
      <c r="B209" s="34" t="s">
        <v>171</v>
      </c>
      <c r="C209" s="34" t="s">
        <v>172</v>
      </c>
      <c r="D209" s="34" t="s">
        <v>173</v>
      </c>
      <c r="E209" s="34" t="s">
        <v>174</v>
      </c>
      <c r="F209" s="34" t="s">
        <v>175</v>
      </c>
      <c r="G209" s="34"/>
      <c r="H209" s="34" t="s">
        <v>151</v>
      </c>
      <c r="I209" s="34" t="s">
        <v>768</v>
      </c>
      <c r="J209" s="35" t="s">
        <v>177</v>
      </c>
      <c r="K209" s="35" t="s">
        <v>178</v>
      </c>
    </row>
    <row r="210" spans="1:11" ht="24" customHeight="1">
      <c r="A210" s="33" t="s">
        <v>105</v>
      </c>
      <c r="B210" s="34" t="s">
        <v>179</v>
      </c>
      <c r="C210" s="34" t="s">
        <v>180</v>
      </c>
      <c r="D210" s="34" t="s">
        <v>181</v>
      </c>
      <c r="E210" s="34"/>
      <c r="F210" s="34" t="s">
        <v>157</v>
      </c>
      <c r="G210" s="34"/>
      <c r="H210" s="34" t="s">
        <v>151</v>
      </c>
      <c r="I210" s="34" t="s">
        <v>769</v>
      </c>
      <c r="J210" s="35" t="s">
        <v>159</v>
      </c>
      <c r="K210" s="35"/>
    </row>
    <row r="211" spans="1:11" ht="45.95">
      <c r="A211" s="33" t="s">
        <v>105</v>
      </c>
      <c r="B211" s="34" t="s">
        <v>183</v>
      </c>
      <c r="C211" s="34" t="s">
        <v>184</v>
      </c>
      <c r="D211" s="34" t="s">
        <v>185</v>
      </c>
      <c r="E211" s="34" t="s">
        <v>186</v>
      </c>
      <c r="F211" s="34" t="s">
        <v>187</v>
      </c>
      <c r="G211" s="34"/>
      <c r="H211" s="34" t="s">
        <v>151</v>
      </c>
      <c r="I211" s="34" t="s">
        <v>770</v>
      </c>
      <c r="J211" s="35" t="s">
        <v>189</v>
      </c>
      <c r="K211" s="35" t="s">
        <v>190</v>
      </c>
    </row>
    <row r="212" spans="1:11" ht="24" customHeight="1">
      <c r="A212" s="33" t="s">
        <v>105</v>
      </c>
      <c r="B212" s="34" t="s">
        <v>191</v>
      </c>
      <c r="C212" s="34" t="s">
        <v>192</v>
      </c>
      <c r="D212" s="34" t="s">
        <v>193</v>
      </c>
      <c r="E212" s="34"/>
      <c r="F212" s="34" t="s">
        <v>194</v>
      </c>
      <c r="G212" s="34"/>
      <c r="H212" s="34" t="s">
        <v>151</v>
      </c>
      <c r="I212" s="34" t="s">
        <v>771</v>
      </c>
      <c r="J212" s="35" t="s">
        <v>196</v>
      </c>
      <c r="K212" s="35"/>
    </row>
    <row r="213" spans="1:11" ht="34.5">
      <c r="A213" s="33" t="s">
        <v>105</v>
      </c>
      <c r="B213" s="34" t="s">
        <v>197</v>
      </c>
      <c r="C213" s="34" t="s">
        <v>198</v>
      </c>
      <c r="D213" s="34" t="s">
        <v>199</v>
      </c>
      <c r="E213" s="34" t="s">
        <v>200</v>
      </c>
      <c r="F213" s="34" t="s">
        <v>187</v>
      </c>
      <c r="G213" s="34"/>
      <c r="H213" s="34" t="s">
        <v>151</v>
      </c>
      <c r="I213" s="34" t="s">
        <v>770</v>
      </c>
      <c r="J213" s="35" t="s">
        <v>189</v>
      </c>
      <c r="K213" s="35" t="s">
        <v>201</v>
      </c>
    </row>
    <row r="214" spans="1:11" ht="24" customHeight="1">
      <c r="A214" s="33" t="s">
        <v>105</v>
      </c>
      <c r="B214" s="34" t="s">
        <v>202</v>
      </c>
      <c r="C214" s="34" t="s">
        <v>203</v>
      </c>
      <c r="D214" s="34" t="s">
        <v>204</v>
      </c>
      <c r="E214" s="34"/>
      <c r="F214" s="34" t="s">
        <v>205</v>
      </c>
      <c r="G214" s="34"/>
      <c r="H214" s="34" t="s">
        <v>151</v>
      </c>
      <c r="I214" s="34" t="s">
        <v>771</v>
      </c>
      <c r="J214" s="35" t="s">
        <v>206</v>
      </c>
      <c r="K214" s="35"/>
    </row>
    <row r="215" spans="1:11" ht="24" customHeight="1">
      <c r="A215" s="33" t="s">
        <v>105</v>
      </c>
      <c r="B215" s="34" t="s">
        <v>207</v>
      </c>
      <c r="C215" s="34" t="s">
        <v>208</v>
      </c>
      <c r="D215" s="34" t="s">
        <v>209</v>
      </c>
      <c r="E215" s="34" t="s">
        <v>210</v>
      </c>
      <c r="F215" s="34" t="s">
        <v>187</v>
      </c>
      <c r="G215" s="34"/>
      <c r="H215" s="34" t="s">
        <v>151</v>
      </c>
      <c r="I215" s="34" t="s">
        <v>772</v>
      </c>
      <c r="J215" s="35" t="s">
        <v>189</v>
      </c>
      <c r="K215" s="35" t="s">
        <v>212</v>
      </c>
    </row>
    <row r="216" spans="1:11" ht="24" customHeight="1">
      <c r="A216" s="33" t="s">
        <v>105</v>
      </c>
      <c r="B216" s="34" t="s">
        <v>213</v>
      </c>
      <c r="C216" s="34" t="s">
        <v>214</v>
      </c>
      <c r="D216" s="34" t="s">
        <v>215</v>
      </c>
      <c r="E216" s="34"/>
      <c r="F216" s="34" t="s">
        <v>216</v>
      </c>
      <c r="G216" s="34"/>
      <c r="H216" s="34" t="s">
        <v>151</v>
      </c>
      <c r="I216" s="34" t="s">
        <v>773</v>
      </c>
      <c r="J216" s="35" t="s">
        <v>218</v>
      </c>
      <c r="K216" s="35"/>
    </row>
    <row r="217" spans="1:11" ht="24" customHeight="1">
      <c r="A217" s="33" t="s">
        <v>105</v>
      </c>
      <c r="B217" s="34" t="s">
        <v>219</v>
      </c>
      <c r="C217" s="34" t="s">
        <v>220</v>
      </c>
      <c r="D217" s="34" t="s">
        <v>221</v>
      </c>
      <c r="E217" s="34" t="s">
        <v>222</v>
      </c>
      <c r="F217" s="34" t="s">
        <v>223</v>
      </c>
      <c r="G217" s="34"/>
      <c r="H217" s="34" t="s">
        <v>151</v>
      </c>
      <c r="I217" s="34" t="s">
        <v>774</v>
      </c>
      <c r="J217" s="35" t="s">
        <v>225</v>
      </c>
      <c r="K217" s="35" t="s">
        <v>226</v>
      </c>
    </row>
    <row r="218" spans="1:11" ht="24" customHeight="1">
      <c r="A218" s="33" t="s">
        <v>105</v>
      </c>
      <c r="B218" s="34" t="s">
        <v>227</v>
      </c>
      <c r="C218" s="34" t="s">
        <v>228</v>
      </c>
      <c r="D218" s="34" t="s">
        <v>229</v>
      </c>
      <c r="E218" s="34"/>
      <c r="F218" s="34" t="s">
        <v>157</v>
      </c>
      <c r="G218" s="34"/>
      <c r="H218" s="34" t="s">
        <v>151</v>
      </c>
      <c r="I218" s="34" t="s">
        <v>775</v>
      </c>
      <c r="J218" s="35" t="s">
        <v>159</v>
      </c>
      <c r="K218" s="35"/>
    </row>
    <row r="219" spans="1:11" ht="24" customHeight="1">
      <c r="A219" s="33" t="s">
        <v>105</v>
      </c>
      <c r="B219" s="34" t="s">
        <v>231</v>
      </c>
      <c r="C219" s="34" t="s">
        <v>232</v>
      </c>
      <c r="D219" s="34" t="s">
        <v>233</v>
      </c>
      <c r="E219" s="34" t="s">
        <v>234</v>
      </c>
      <c r="F219" s="34" t="s">
        <v>235</v>
      </c>
      <c r="G219" s="34"/>
      <c r="H219" s="34" t="s">
        <v>151</v>
      </c>
      <c r="I219" s="34" t="s">
        <v>776</v>
      </c>
      <c r="J219" s="35" t="s">
        <v>237</v>
      </c>
      <c r="K219" s="35" t="s">
        <v>238</v>
      </c>
    </row>
    <row r="220" spans="1:11" ht="24" customHeight="1">
      <c r="A220" s="33" t="s">
        <v>105</v>
      </c>
      <c r="B220" s="34" t="s">
        <v>239</v>
      </c>
      <c r="C220" s="34" t="s">
        <v>240</v>
      </c>
      <c r="D220" s="34" t="s">
        <v>241</v>
      </c>
      <c r="E220" s="34"/>
      <c r="F220" s="34" t="s">
        <v>157</v>
      </c>
      <c r="G220" s="34"/>
      <c r="H220" s="34" t="s">
        <v>151</v>
      </c>
      <c r="I220" s="34" t="s">
        <v>775</v>
      </c>
      <c r="J220" s="35" t="s">
        <v>159</v>
      </c>
      <c r="K220" s="35"/>
    </row>
    <row r="221" spans="1:11" ht="34.5">
      <c r="A221" s="33" t="s">
        <v>105</v>
      </c>
      <c r="B221" s="34" t="s">
        <v>243</v>
      </c>
      <c r="C221" s="34" t="s">
        <v>244</v>
      </c>
      <c r="D221" s="34" t="s">
        <v>245</v>
      </c>
      <c r="E221" s="34" t="s">
        <v>246</v>
      </c>
      <c r="F221" s="34" t="s">
        <v>223</v>
      </c>
      <c r="G221" s="34"/>
      <c r="H221" s="34" t="s">
        <v>151</v>
      </c>
      <c r="I221" s="34" t="s">
        <v>247</v>
      </c>
      <c r="J221" s="35" t="s">
        <v>225</v>
      </c>
      <c r="K221" s="35" t="s">
        <v>248</v>
      </c>
    </row>
    <row r="222" spans="1:11" ht="24" customHeight="1">
      <c r="A222" s="33" t="s">
        <v>105</v>
      </c>
      <c r="B222" s="34" t="s">
        <v>249</v>
      </c>
      <c r="C222" s="34" t="s">
        <v>250</v>
      </c>
      <c r="D222" s="34" t="s">
        <v>251</v>
      </c>
      <c r="E222" s="34"/>
      <c r="F222" s="34" t="s">
        <v>252</v>
      </c>
      <c r="G222" s="34"/>
      <c r="H222" s="34" t="s">
        <v>151</v>
      </c>
      <c r="I222" s="34" t="s">
        <v>253</v>
      </c>
      <c r="J222" s="35" t="s">
        <v>254</v>
      </c>
      <c r="K222" s="35"/>
    </row>
    <row r="223" spans="1:11" ht="34.5">
      <c r="A223" s="33" t="s">
        <v>105</v>
      </c>
      <c r="B223" s="34" t="s">
        <v>255</v>
      </c>
      <c r="C223" s="34" t="s">
        <v>256</v>
      </c>
      <c r="D223" s="34" t="s">
        <v>257</v>
      </c>
      <c r="E223" s="34" t="s">
        <v>258</v>
      </c>
      <c r="F223" s="34" t="s">
        <v>259</v>
      </c>
      <c r="G223" s="34"/>
      <c r="H223" s="34" t="s">
        <v>151</v>
      </c>
      <c r="I223" s="34" t="s">
        <v>23</v>
      </c>
      <c r="J223" s="35" t="s">
        <v>261</v>
      </c>
      <c r="K223" s="35" t="s">
        <v>262</v>
      </c>
    </row>
    <row r="224" spans="1:11" ht="24" customHeight="1">
      <c r="A224" s="33" t="s">
        <v>105</v>
      </c>
      <c r="B224" s="34" t="s">
        <v>263</v>
      </c>
      <c r="C224" s="34" t="s">
        <v>264</v>
      </c>
      <c r="D224" s="34" t="s">
        <v>265</v>
      </c>
      <c r="E224" s="34"/>
      <c r="F224" s="34" t="s">
        <v>266</v>
      </c>
      <c r="G224" s="34"/>
      <c r="H224" s="34" t="s">
        <v>151</v>
      </c>
      <c r="I224" s="34" t="s">
        <v>666</v>
      </c>
      <c r="J224" s="35" t="s">
        <v>268</v>
      </c>
      <c r="K224" s="35"/>
    </row>
    <row r="225" spans="1:11" ht="57.6">
      <c r="A225" s="33" t="s">
        <v>105</v>
      </c>
      <c r="B225" s="34" t="s">
        <v>269</v>
      </c>
      <c r="C225" s="34" t="s">
        <v>270</v>
      </c>
      <c r="D225" s="34" t="s">
        <v>271</v>
      </c>
      <c r="E225" s="34" t="s">
        <v>272</v>
      </c>
      <c r="F225" s="34" t="s">
        <v>273</v>
      </c>
      <c r="G225" s="34"/>
      <c r="H225" s="34" t="s">
        <v>151</v>
      </c>
      <c r="I225" s="34" t="s">
        <v>777</v>
      </c>
      <c r="J225" s="35" t="s">
        <v>275</v>
      </c>
      <c r="K225" s="35" t="s">
        <v>276</v>
      </c>
    </row>
    <row r="226" spans="1:11" ht="24" customHeight="1">
      <c r="A226" s="33" t="s">
        <v>105</v>
      </c>
      <c r="B226" s="34" t="s">
        <v>277</v>
      </c>
      <c r="C226" s="34" t="s">
        <v>278</v>
      </c>
      <c r="D226" s="34" t="s">
        <v>279</v>
      </c>
      <c r="E226" s="34"/>
      <c r="F226" s="34" t="s">
        <v>157</v>
      </c>
      <c r="G226" s="34"/>
      <c r="H226" s="34" t="s">
        <v>151</v>
      </c>
      <c r="I226" s="34" t="s">
        <v>778</v>
      </c>
      <c r="J226" s="35" t="s">
        <v>159</v>
      </c>
      <c r="K226" s="35"/>
    </row>
    <row r="227" spans="1:11" ht="24" customHeight="1">
      <c r="A227" s="33" t="s">
        <v>105</v>
      </c>
      <c r="B227" s="34" t="s">
        <v>293</v>
      </c>
      <c r="C227" s="34" t="s">
        <v>294</v>
      </c>
      <c r="D227" s="34" t="s">
        <v>295</v>
      </c>
      <c r="E227" s="34" t="s">
        <v>296</v>
      </c>
      <c r="F227" s="34" t="s">
        <v>297</v>
      </c>
      <c r="G227" s="34"/>
      <c r="H227" s="34" t="s">
        <v>151</v>
      </c>
      <c r="I227" s="34">
        <v>12.026</v>
      </c>
      <c r="J227" s="35" t="s">
        <v>298</v>
      </c>
      <c r="K227" s="35" t="s">
        <v>299</v>
      </c>
    </row>
    <row r="228" spans="1:11" ht="24" customHeight="1">
      <c r="A228" s="33" t="s">
        <v>105</v>
      </c>
      <c r="B228" s="34" t="s">
        <v>300</v>
      </c>
      <c r="C228" s="34" t="s">
        <v>301</v>
      </c>
      <c r="D228" s="34" t="s">
        <v>302</v>
      </c>
      <c r="E228" s="34"/>
      <c r="F228" s="34" t="s">
        <v>194</v>
      </c>
      <c r="G228" s="34"/>
      <c r="H228" s="34" t="s">
        <v>151</v>
      </c>
      <c r="I228" s="34" t="s">
        <v>303</v>
      </c>
      <c r="J228" s="35" t="s">
        <v>196</v>
      </c>
      <c r="K228" s="35"/>
    </row>
    <row r="229" spans="1:11" ht="34.5">
      <c r="A229" s="33" t="s">
        <v>105</v>
      </c>
      <c r="B229" s="34" t="s">
        <v>304</v>
      </c>
      <c r="C229" s="34" t="s">
        <v>305</v>
      </c>
      <c r="D229" s="34" t="s">
        <v>306</v>
      </c>
      <c r="E229" s="34" t="s">
        <v>307</v>
      </c>
      <c r="F229" s="34" t="s">
        <v>223</v>
      </c>
      <c r="G229" s="34"/>
      <c r="H229" s="34" t="s">
        <v>151</v>
      </c>
      <c r="I229" s="34" t="s">
        <v>779</v>
      </c>
      <c r="J229" s="35" t="s">
        <v>225</v>
      </c>
      <c r="K229" s="35" t="s">
        <v>309</v>
      </c>
    </row>
    <row r="230" spans="1:11" ht="24" customHeight="1">
      <c r="A230" s="33" t="s">
        <v>105</v>
      </c>
      <c r="B230" s="34" t="s">
        <v>310</v>
      </c>
      <c r="C230" s="34" t="s">
        <v>311</v>
      </c>
      <c r="D230" s="34" t="s">
        <v>312</v>
      </c>
      <c r="E230" s="34"/>
      <c r="F230" s="34" t="s">
        <v>313</v>
      </c>
      <c r="G230" s="34"/>
      <c r="H230" s="34" t="s">
        <v>151</v>
      </c>
      <c r="I230" s="34" t="s">
        <v>780</v>
      </c>
      <c r="J230" s="35" t="s">
        <v>315</v>
      </c>
      <c r="K230" s="35"/>
    </row>
    <row r="231" spans="1:11" ht="23.1">
      <c r="A231" s="33" t="s">
        <v>105</v>
      </c>
      <c r="B231" s="34" t="s">
        <v>674</v>
      </c>
      <c r="C231" s="34" t="s">
        <v>675</v>
      </c>
      <c r="D231" s="34" t="s">
        <v>676</v>
      </c>
      <c r="E231" s="34" t="s">
        <v>677</v>
      </c>
      <c r="F231" s="34" t="s">
        <v>259</v>
      </c>
      <c r="G231" s="34"/>
      <c r="H231" s="34" t="s">
        <v>151</v>
      </c>
      <c r="I231" s="34" t="s">
        <v>781</v>
      </c>
      <c r="J231" s="35" t="s">
        <v>261</v>
      </c>
      <c r="K231" s="35" t="s">
        <v>678</v>
      </c>
    </row>
    <row r="232" spans="1:11" ht="24" customHeight="1">
      <c r="A232" s="33" t="s">
        <v>105</v>
      </c>
      <c r="B232" s="34" t="s">
        <v>679</v>
      </c>
      <c r="C232" s="34" t="s">
        <v>680</v>
      </c>
      <c r="D232" s="34" t="s">
        <v>681</v>
      </c>
      <c r="E232" s="34"/>
      <c r="F232" s="34" t="s">
        <v>157</v>
      </c>
      <c r="G232" s="34"/>
      <c r="H232" s="34" t="s">
        <v>151</v>
      </c>
      <c r="I232" s="34" t="s">
        <v>782</v>
      </c>
      <c r="J232" s="35" t="s">
        <v>159</v>
      </c>
      <c r="K232" s="35"/>
    </row>
    <row r="233" spans="1:11" ht="24" customHeight="1">
      <c r="A233" s="33" t="s">
        <v>105</v>
      </c>
      <c r="B233" s="34" t="s">
        <v>316</v>
      </c>
      <c r="C233" s="34" t="s">
        <v>317</v>
      </c>
      <c r="D233" s="34" t="s">
        <v>318</v>
      </c>
      <c r="E233" s="34" t="s">
        <v>319</v>
      </c>
      <c r="F233" s="34" t="s">
        <v>150</v>
      </c>
      <c r="G233" s="34"/>
      <c r="H233" s="34" t="s">
        <v>151</v>
      </c>
      <c r="I233" s="34">
        <v>15</v>
      </c>
      <c r="J233" s="35" t="s">
        <v>320</v>
      </c>
      <c r="K233" s="35" t="s">
        <v>321</v>
      </c>
    </row>
    <row r="234" spans="1:11" ht="24" customHeight="1">
      <c r="A234" s="33" t="s">
        <v>105</v>
      </c>
      <c r="B234" s="34" t="s">
        <v>322</v>
      </c>
      <c r="C234" s="34" t="s">
        <v>323</v>
      </c>
      <c r="D234" s="34" t="s">
        <v>324</v>
      </c>
      <c r="E234" s="34"/>
      <c r="F234" s="34" t="s">
        <v>157</v>
      </c>
      <c r="G234" s="34"/>
      <c r="H234" s="34" t="s">
        <v>151</v>
      </c>
      <c r="I234" s="34" t="s">
        <v>773</v>
      </c>
      <c r="J234" s="35" t="s">
        <v>159</v>
      </c>
      <c r="K234" s="35"/>
    </row>
    <row r="235" spans="1:11" ht="24" customHeight="1">
      <c r="A235" s="33" t="s">
        <v>105</v>
      </c>
      <c r="B235" s="34" t="s">
        <v>326</v>
      </c>
      <c r="C235" s="34" t="s">
        <v>327</v>
      </c>
      <c r="D235" s="34" t="s">
        <v>328</v>
      </c>
      <c r="E235" s="34" t="s">
        <v>329</v>
      </c>
      <c r="F235" s="34" t="s">
        <v>290</v>
      </c>
      <c r="G235" s="34"/>
      <c r="H235" s="34" t="s">
        <v>151</v>
      </c>
      <c r="I235" s="34" t="s">
        <v>783</v>
      </c>
      <c r="J235" s="35" t="s">
        <v>292</v>
      </c>
      <c r="K235" s="35" t="s">
        <v>331</v>
      </c>
    </row>
    <row r="236" spans="1:11" ht="24" customHeight="1">
      <c r="A236" s="33" t="s">
        <v>105</v>
      </c>
      <c r="B236" s="34" t="s">
        <v>332</v>
      </c>
      <c r="C236" s="34" t="s">
        <v>333</v>
      </c>
      <c r="D236" s="34" t="s">
        <v>334</v>
      </c>
      <c r="E236" s="34"/>
      <c r="F236" s="34" t="s">
        <v>335</v>
      </c>
      <c r="G236" s="34"/>
      <c r="H236" s="34" t="s">
        <v>151</v>
      </c>
      <c r="I236" s="34" t="s">
        <v>784</v>
      </c>
      <c r="J236" s="35" t="s">
        <v>337</v>
      </c>
      <c r="K236" s="35"/>
    </row>
    <row r="237" spans="1:11" ht="24" customHeight="1">
      <c r="A237" s="33" t="s">
        <v>105</v>
      </c>
      <c r="B237" s="34" t="s">
        <v>338</v>
      </c>
      <c r="C237" s="34" t="s">
        <v>339</v>
      </c>
      <c r="D237" s="34" t="s">
        <v>340</v>
      </c>
      <c r="E237" s="34" t="s">
        <v>341</v>
      </c>
      <c r="F237" s="34" t="s">
        <v>290</v>
      </c>
      <c r="G237" s="34"/>
      <c r="H237" s="34" t="s">
        <v>151</v>
      </c>
      <c r="I237" s="34">
        <v>2090571</v>
      </c>
      <c r="J237" s="35" t="s">
        <v>292</v>
      </c>
      <c r="K237" s="35" t="s">
        <v>342</v>
      </c>
    </row>
    <row r="238" spans="1:11" ht="24" customHeight="1">
      <c r="A238" s="33" t="s">
        <v>105</v>
      </c>
      <c r="B238" s="34" t="s">
        <v>343</v>
      </c>
      <c r="C238" s="34" t="s">
        <v>344</v>
      </c>
      <c r="D238" s="34" t="s">
        <v>345</v>
      </c>
      <c r="E238" s="34"/>
      <c r="F238" s="34" t="s">
        <v>335</v>
      </c>
      <c r="G238" s="34"/>
      <c r="H238" s="34" t="s">
        <v>151</v>
      </c>
      <c r="I238" s="34" t="s">
        <v>784</v>
      </c>
      <c r="J238" s="35" t="s">
        <v>337</v>
      </c>
      <c r="K238" s="35"/>
    </row>
    <row r="239" spans="1:11" ht="24" customHeight="1">
      <c r="A239" s="33" t="s">
        <v>105</v>
      </c>
      <c r="B239" s="34" t="s">
        <v>346</v>
      </c>
      <c r="C239" s="34" t="s">
        <v>347</v>
      </c>
      <c r="D239" s="34" t="s">
        <v>348</v>
      </c>
      <c r="E239" s="34" t="s">
        <v>349</v>
      </c>
      <c r="F239" s="34" t="s">
        <v>187</v>
      </c>
      <c r="G239" s="34"/>
      <c r="H239" s="34" t="s">
        <v>151</v>
      </c>
      <c r="I239" s="34">
        <v>77</v>
      </c>
      <c r="J239" s="35" t="s">
        <v>189</v>
      </c>
      <c r="K239" s="35" t="s">
        <v>350</v>
      </c>
    </row>
    <row r="240" spans="1:11" ht="24" customHeight="1">
      <c r="A240" s="33" t="s">
        <v>105</v>
      </c>
      <c r="B240" s="34" t="s">
        <v>351</v>
      </c>
      <c r="C240" s="34" t="s">
        <v>352</v>
      </c>
      <c r="D240" s="34" t="s">
        <v>353</v>
      </c>
      <c r="E240" s="34"/>
      <c r="F240" s="34" t="s">
        <v>290</v>
      </c>
      <c r="G240" s="34"/>
      <c r="H240" s="34" t="s">
        <v>151</v>
      </c>
      <c r="I240" s="34" t="s">
        <v>785</v>
      </c>
      <c r="J240" s="35" t="s">
        <v>292</v>
      </c>
      <c r="K240" s="35"/>
    </row>
    <row r="241" spans="1:11" ht="34.5">
      <c r="A241" s="33" t="s">
        <v>105</v>
      </c>
      <c r="B241" s="34" t="s">
        <v>354</v>
      </c>
      <c r="C241" s="34" t="s">
        <v>355</v>
      </c>
      <c r="D241" s="34" t="s">
        <v>356</v>
      </c>
      <c r="E241" s="34" t="s">
        <v>357</v>
      </c>
      <c r="F241" s="34" t="s">
        <v>223</v>
      </c>
      <c r="G241" s="34"/>
      <c r="H241" s="34" t="s">
        <v>151</v>
      </c>
      <c r="I241" s="34" t="s">
        <v>786</v>
      </c>
      <c r="J241" s="35" t="s">
        <v>225</v>
      </c>
      <c r="K241" s="35" t="s">
        <v>359</v>
      </c>
    </row>
    <row r="242" spans="1:11" ht="24" customHeight="1">
      <c r="A242" s="33" t="s">
        <v>105</v>
      </c>
      <c r="B242" s="34" t="s">
        <v>360</v>
      </c>
      <c r="C242" s="34" t="s">
        <v>361</v>
      </c>
      <c r="D242" s="34" t="s">
        <v>362</v>
      </c>
      <c r="E242" s="34"/>
      <c r="F242" s="34" t="s">
        <v>157</v>
      </c>
      <c r="G242" s="34"/>
      <c r="H242" s="34" t="s">
        <v>151</v>
      </c>
      <c r="I242" s="34" t="s">
        <v>785</v>
      </c>
      <c r="J242" s="35" t="s">
        <v>159</v>
      </c>
      <c r="K242" s="35"/>
    </row>
    <row r="243" spans="1:11" ht="34.5">
      <c r="A243" s="33" t="s">
        <v>105</v>
      </c>
      <c r="B243" s="34" t="s">
        <v>363</v>
      </c>
      <c r="C243" s="34" t="s">
        <v>364</v>
      </c>
      <c r="D243" s="34" t="s">
        <v>365</v>
      </c>
      <c r="E243" s="34" t="s">
        <v>366</v>
      </c>
      <c r="F243" s="34" t="s">
        <v>223</v>
      </c>
      <c r="G243" s="34"/>
      <c r="H243" s="34" t="s">
        <v>151</v>
      </c>
      <c r="I243" s="34">
        <v>770</v>
      </c>
      <c r="J243" s="35" t="s">
        <v>225</v>
      </c>
      <c r="K243" s="35" t="s">
        <v>367</v>
      </c>
    </row>
    <row r="244" spans="1:11" ht="24" customHeight="1">
      <c r="A244" s="33" t="s">
        <v>105</v>
      </c>
      <c r="B244" s="34" t="s">
        <v>368</v>
      </c>
      <c r="C244" s="34" t="s">
        <v>369</v>
      </c>
      <c r="D244" s="34" t="s">
        <v>370</v>
      </c>
      <c r="E244" s="34"/>
      <c r="F244" s="34" t="s">
        <v>157</v>
      </c>
      <c r="G244" s="34"/>
      <c r="H244" s="34" t="s">
        <v>151</v>
      </c>
      <c r="I244" s="34" t="s">
        <v>785</v>
      </c>
      <c r="J244" s="35" t="s">
        <v>159</v>
      </c>
      <c r="K244" s="35"/>
    </row>
    <row r="245" spans="1:11" ht="34.5">
      <c r="A245" s="33" t="s">
        <v>105</v>
      </c>
      <c r="B245" s="34" t="s">
        <v>371</v>
      </c>
      <c r="C245" s="34" t="s">
        <v>372</v>
      </c>
      <c r="D245" s="34" t="s">
        <v>373</v>
      </c>
      <c r="E245" s="34" t="s">
        <v>374</v>
      </c>
      <c r="F245" s="34" t="s">
        <v>223</v>
      </c>
      <c r="G245" s="34"/>
      <c r="H245" s="34" t="s">
        <v>151</v>
      </c>
      <c r="I245" s="34">
        <v>777</v>
      </c>
      <c r="J245" s="35" t="s">
        <v>225</v>
      </c>
      <c r="K245" s="35" t="s">
        <v>375</v>
      </c>
    </row>
    <row r="246" spans="1:11" ht="24" customHeight="1">
      <c r="A246" s="33" t="s">
        <v>105</v>
      </c>
      <c r="B246" s="34" t="s">
        <v>376</v>
      </c>
      <c r="C246" s="34" t="s">
        <v>377</v>
      </c>
      <c r="D246" s="34" t="s">
        <v>378</v>
      </c>
      <c r="E246" s="34"/>
      <c r="F246" s="34" t="s">
        <v>157</v>
      </c>
      <c r="G246" s="34"/>
      <c r="H246" s="34" t="s">
        <v>151</v>
      </c>
      <c r="I246" s="34" t="s">
        <v>785</v>
      </c>
      <c r="J246" s="35" t="s">
        <v>159</v>
      </c>
      <c r="K246" s="35"/>
    </row>
    <row r="247" spans="1:11" ht="24" customHeight="1">
      <c r="A247" s="33" t="s">
        <v>105</v>
      </c>
      <c r="B247" s="34" t="s">
        <v>380</v>
      </c>
      <c r="C247" s="34" t="s">
        <v>381</v>
      </c>
      <c r="D247" s="34" t="s">
        <v>382</v>
      </c>
      <c r="E247" s="34" t="s">
        <v>383</v>
      </c>
      <c r="F247" s="34" t="s">
        <v>259</v>
      </c>
      <c r="G247" s="34"/>
      <c r="H247" s="34" t="s">
        <v>151</v>
      </c>
      <c r="I247" s="34" t="s">
        <v>787</v>
      </c>
      <c r="J247" s="35" t="s">
        <v>261</v>
      </c>
      <c r="K247" s="35" t="s">
        <v>385</v>
      </c>
    </row>
    <row r="248" spans="1:11" ht="24" customHeight="1">
      <c r="A248" s="33" t="s">
        <v>105</v>
      </c>
      <c r="B248" s="34" t="s">
        <v>386</v>
      </c>
      <c r="C248" s="34" t="s">
        <v>387</v>
      </c>
      <c r="D248" s="34" t="s">
        <v>388</v>
      </c>
      <c r="E248" s="34"/>
      <c r="F248" s="34" t="s">
        <v>157</v>
      </c>
      <c r="G248" s="34"/>
      <c r="H248" s="34" t="s">
        <v>151</v>
      </c>
      <c r="I248" s="34" t="s">
        <v>785</v>
      </c>
      <c r="J248" s="35" t="s">
        <v>159</v>
      </c>
      <c r="K248" s="35"/>
    </row>
    <row r="249" spans="1:11" ht="45.95">
      <c r="A249" s="33" t="s">
        <v>105</v>
      </c>
      <c r="B249" s="34" t="s">
        <v>389</v>
      </c>
      <c r="C249" s="34" t="s">
        <v>390</v>
      </c>
      <c r="D249" s="34" t="s">
        <v>391</v>
      </c>
      <c r="E249" s="34" t="s">
        <v>392</v>
      </c>
      <c r="F249" s="34" t="s">
        <v>290</v>
      </c>
      <c r="G249" s="34"/>
      <c r="H249" s="34" t="s">
        <v>151</v>
      </c>
      <c r="I249" s="34">
        <v>6770177</v>
      </c>
      <c r="J249" s="35" t="s">
        <v>292</v>
      </c>
      <c r="K249" s="35" t="s">
        <v>393</v>
      </c>
    </row>
    <row r="250" spans="1:11" ht="24" customHeight="1">
      <c r="A250" s="33" t="s">
        <v>105</v>
      </c>
      <c r="B250" s="34" t="s">
        <v>394</v>
      </c>
      <c r="C250" s="34" t="s">
        <v>395</v>
      </c>
      <c r="D250" s="34" t="s">
        <v>396</v>
      </c>
      <c r="E250" s="34"/>
      <c r="F250" s="34" t="s">
        <v>397</v>
      </c>
      <c r="G250" s="34"/>
      <c r="H250" s="34" t="s">
        <v>151</v>
      </c>
      <c r="I250" s="34" t="s">
        <v>788</v>
      </c>
      <c r="J250" s="35" t="s">
        <v>399</v>
      </c>
      <c r="K250" s="35"/>
    </row>
    <row r="251" spans="1:11" ht="24" customHeight="1">
      <c r="A251" s="33" t="s">
        <v>105</v>
      </c>
      <c r="B251" s="34" t="s">
        <v>407</v>
      </c>
      <c r="C251" s="34" t="s">
        <v>408</v>
      </c>
      <c r="D251" s="34" t="s">
        <v>409</v>
      </c>
      <c r="E251" s="34" t="s">
        <v>410</v>
      </c>
      <c r="F251" s="34" t="s">
        <v>235</v>
      </c>
      <c r="G251" s="34"/>
      <c r="H251" s="34" t="s">
        <v>151</v>
      </c>
      <c r="I251" s="34">
        <v>77100</v>
      </c>
      <c r="J251" s="35" t="s">
        <v>237</v>
      </c>
      <c r="K251" s="35" t="s">
        <v>411</v>
      </c>
    </row>
    <row r="252" spans="1:11" ht="24" customHeight="1">
      <c r="A252" s="33" t="s">
        <v>105</v>
      </c>
      <c r="B252" s="34" t="s">
        <v>412</v>
      </c>
      <c r="C252" s="34" t="s">
        <v>413</v>
      </c>
      <c r="D252" s="34" t="s">
        <v>414</v>
      </c>
      <c r="E252" s="34"/>
      <c r="F252" s="34" t="s">
        <v>157</v>
      </c>
      <c r="G252" s="34"/>
      <c r="H252" s="34" t="s">
        <v>151</v>
      </c>
      <c r="I252" s="34" t="s">
        <v>789</v>
      </c>
      <c r="J252" s="35" t="s">
        <v>159</v>
      </c>
      <c r="K252" s="35"/>
    </row>
    <row r="253" spans="1:11" ht="45.95">
      <c r="A253" s="33" t="s">
        <v>105</v>
      </c>
      <c r="B253" s="34" t="s">
        <v>416</v>
      </c>
      <c r="C253" s="34" t="s">
        <v>417</v>
      </c>
      <c r="D253" s="34" t="s">
        <v>416</v>
      </c>
      <c r="E253" s="34" t="s">
        <v>418</v>
      </c>
      <c r="F253" s="34" t="s">
        <v>259</v>
      </c>
      <c r="G253" s="34"/>
      <c r="H253" s="34" t="s">
        <v>151</v>
      </c>
      <c r="I253" s="34" t="s">
        <v>790</v>
      </c>
      <c r="J253" s="35" t="s">
        <v>261</v>
      </c>
      <c r="K253" s="35" t="s">
        <v>420</v>
      </c>
    </row>
    <row r="254" spans="1:11" ht="24" customHeight="1">
      <c r="A254" s="33" t="s">
        <v>105</v>
      </c>
      <c r="B254" s="34" t="s">
        <v>421</v>
      </c>
      <c r="C254" s="34" t="s">
        <v>422</v>
      </c>
      <c r="D254" s="34" t="s">
        <v>423</v>
      </c>
      <c r="E254" s="34"/>
      <c r="F254" s="34" t="s">
        <v>157</v>
      </c>
      <c r="G254" s="34"/>
      <c r="H254" s="34" t="s">
        <v>151</v>
      </c>
      <c r="I254" s="34" t="s">
        <v>791</v>
      </c>
      <c r="J254" s="35" t="s">
        <v>159</v>
      </c>
      <c r="K254" s="35"/>
    </row>
    <row r="255" spans="1:11" ht="24" customHeight="1">
      <c r="A255" s="33" t="s">
        <v>105</v>
      </c>
      <c r="B255" s="34" t="s">
        <v>425</v>
      </c>
      <c r="C255" s="34" t="s">
        <v>426</v>
      </c>
      <c r="D255" s="34" t="s">
        <v>425</v>
      </c>
      <c r="E255" s="34" t="s">
        <v>427</v>
      </c>
      <c r="F255" s="34" t="s">
        <v>403</v>
      </c>
      <c r="G255" s="34"/>
      <c r="H255" s="34" t="s">
        <v>151</v>
      </c>
      <c r="I255" s="34" t="s">
        <v>428</v>
      </c>
      <c r="J255" s="35" t="s">
        <v>405</v>
      </c>
      <c r="K255" s="35" t="s">
        <v>429</v>
      </c>
    </row>
    <row r="256" spans="1:11" ht="34.5">
      <c r="A256" s="33" t="s">
        <v>105</v>
      </c>
      <c r="B256" s="34" t="s">
        <v>430</v>
      </c>
      <c r="C256" s="34" t="s">
        <v>431</v>
      </c>
      <c r="D256" s="34" t="s">
        <v>432</v>
      </c>
      <c r="E256" s="34" t="s">
        <v>433</v>
      </c>
      <c r="F256" s="34" t="s">
        <v>187</v>
      </c>
      <c r="G256" s="34"/>
      <c r="H256" s="34" t="s">
        <v>151</v>
      </c>
      <c r="I256" s="34">
        <v>76</v>
      </c>
      <c r="J256" s="35" t="s">
        <v>189</v>
      </c>
      <c r="K256" s="35" t="s">
        <v>434</v>
      </c>
    </row>
    <row r="257" spans="1:11" ht="24" customHeight="1">
      <c r="A257" s="33" t="s">
        <v>105</v>
      </c>
      <c r="B257" s="34" t="s">
        <v>435</v>
      </c>
      <c r="C257" s="34" t="s">
        <v>436</v>
      </c>
      <c r="D257" s="34" t="s">
        <v>437</v>
      </c>
      <c r="E257" s="34"/>
      <c r="F257" s="34" t="s">
        <v>205</v>
      </c>
      <c r="G257" s="34"/>
      <c r="H257" s="34" t="s">
        <v>151</v>
      </c>
      <c r="I257" s="34" t="s">
        <v>696</v>
      </c>
      <c r="J257" s="35" t="s">
        <v>206</v>
      </c>
      <c r="K257" s="35"/>
    </row>
    <row r="258" spans="1:11" ht="23.1">
      <c r="A258" s="33" t="s">
        <v>105</v>
      </c>
      <c r="B258" s="34" t="s">
        <v>438</v>
      </c>
      <c r="C258" s="34" t="s">
        <v>439</v>
      </c>
      <c r="D258" s="34" t="s">
        <v>440</v>
      </c>
      <c r="E258" s="34" t="s">
        <v>441</v>
      </c>
      <c r="F258" s="34" t="s">
        <v>187</v>
      </c>
      <c r="G258" s="34"/>
      <c r="H258" s="34" t="s">
        <v>151</v>
      </c>
      <c r="I258" s="34">
        <v>62</v>
      </c>
      <c r="J258" s="35" t="s">
        <v>189</v>
      </c>
      <c r="K258" s="35" t="s">
        <v>442</v>
      </c>
    </row>
    <row r="259" spans="1:11" ht="24" customHeight="1">
      <c r="A259" s="33" t="s">
        <v>105</v>
      </c>
      <c r="B259" s="34" t="s">
        <v>443</v>
      </c>
      <c r="C259" s="34" t="s">
        <v>444</v>
      </c>
      <c r="D259" s="34" t="s">
        <v>445</v>
      </c>
      <c r="E259" s="34"/>
      <c r="F259" s="34" t="s">
        <v>157</v>
      </c>
      <c r="G259" s="34"/>
      <c r="H259" s="34" t="s">
        <v>151</v>
      </c>
      <c r="I259" s="34" t="s">
        <v>792</v>
      </c>
      <c r="J259" s="35" t="s">
        <v>159</v>
      </c>
      <c r="K259" s="35"/>
    </row>
    <row r="260" spans="1:11" ht="23.1">
      <c r="A260" s="33" t="s">
        <v>105</v>
      </c>
      <c r="B260" s="34" t="s">
        <v>447</v>
      </c>
      <c r="C260" s="34" t="s">
        <v>448</v>
      </c>
      <c r="D260" s="34" t="s">
        <v>449</v>
      </c>
      <c r="E260" s="34" t="s">
        <v>450</v>
      </c>
      <c r="F260" s="34" t="s">
        <v>223</v>
      </c>
      <c r="G260" s="34"/>
      <c r="H260" s="34" t="s">
        <v>151</v>
      </c>
      <c r="I260" s="34" t="s">
        <v>793</v>
      </c>
      <c r="J260" s="35" t="s">
        <v>225</v>
      </c>
      <c r="K260" s="35" t="s">
        <v>452</v>
      </c>
    </row>
    <row r="261" spans="1:11" ht="24" customHeight="1">
      <c r="A261" s="33" t="s">
        <v>105</v>
      </c>
      <c r="B261" s="34" t="s">
        <v>453</v>
      </c>
      <c r="C261" s="34" t="s">
        <v>454</v>
      </c>
      <c r="D261" s="34" t="s">
        <v>455</v>
      </c>
      <c r="E261" s="34"/>
      <c r="F261" s="34" t="s">
        <v>157</v>
      </c>
      <c r="G261" s="34"/>
      <c r="H261" s="34" t="s">
        <v>151</v>
      </c>
      <c r="I261" s="34" t="s">
        <v>794</v>
      </c>
      <c r="J261" s="35" t="s">
        <v>159</v>
      </c>
      <c r="K261" s="35"/>
    </row>
    <row r="262" spans="1:11" ht="23.1">
      <c r="A262" s="33" t="s">
        <v>105</v>
      </c>
      <c r="B262" s="34" t="s">
        <v>457</v>
      </c>
      <c r="C262" s="34" t="s">
        <v>458</v>
      </c>
      <c r="D262" s="34" t="s">
        <v>459</v>
      </c>
      <c r="E262" s="34" t="s">
        <v>460</v>
      </c>
      <c r="F262" s="34" t="s">
        <v>223</v>
      </c>
      <c r="G262" s="34"/>
      <c r="H262" s="34" t="s">
        <v>151</v>
      </c>
      <c r="I262" s="34" t="s">
        <v>795</v>
      </c>
      <c r="J262" s="35" t="s">
        <v>225</v>
      </c>
      <c r="K262" s="35" t="s">
        <v>462</v>
      </c>
    </row>
    <row r="263" spans="1:11" ht="24" customHeight="1">
      <c r="A263" s="33" t="s">
        <v>105</v>
      </c>
      <c r="B263" s="34" t="s">
        <v>463</v>
      </c>
      <c r="C263" s="34" t="s">
        <v>464</v>
      </c>
      <c r="D263" s="34" t="s">
        <v>465</v>
      </c>
      <c r="E263" s="34"/>
      <c r="F263" s="34" t="s">
        <v>157</v>
      </c>
      <c r="G263" s="34"/>
      <c r="H263" s="34" t="s">
        <v>151</v>
      </c>
      <c r="I263" s="34" t="s">
        <v>796</v>
      </c>
      <c r="J263" s="35" t="s">
        <v>159</v>
      </c>
      <c r="K263" s="35"/>
    </row>
    <row r="264" spans="1:11" ht="23.1">
      <c r="A264" s="33" t="s">
        <v>105</v>
      </c>
      <c r="B264" s="34" t="s">
        <v>467</v>
      </c>
      <c r="C264" s="34" t="s">
        <v>468</v>
      </c>
      <c r="D264" s="34" t="s">
        <v>469</v>
      </c>
      <c r="E264" s="34" t="s">
        <v>470</v>
      </c>
      <c r="F264" s="34" t="s">
        <v>175</v>
      </c>
      <c r="G264" s="34"/>
      <c r="H264" s="34" t="s">
        <v>151</v>
      </c>
      <c r="I264" s="34" t="s">
        <v>23</v>
      </c>
      <c r="J264" s="35" t="s">
        <v>177</v>
      </c>
      <c r="K264" s="35" t="s">
        <v>471</v>
      </c>
    </row>
    <row r="265" spans="1:11" ht="24" customHeight="1">
      <c r="A265" s="33" t="s">
        <v>105</v>
      </c>
      <c r="B265" s="34" t="s">
        <v>472</v>
      </c>
      <c r="C265" s="34" t="s">
        <v>473</v>
      </c>
      <c r="D265" s="34" t="s">
        <v>474</v>
      </c>
      <c r="E265" s="34"/>
      <c r="F265" s="34" t="s">
        <v>157</v>
      </c>
      <c r="G265" s="34"/>
      <c r="H265" s="34" t="s">
        <v>151</v>
      </c>
      <c r="I265" s="34" t="s">
        <v>797</v>
      </c>
      <c r="J265" s="35" t="s">
        <v>159</v>
      </c>
      <c r="K265" s="35"/>
    </row>
    <row r="266" spans="1:11" ht="34.5">
      <c r="A266" s="33" t="s">
        <v>105</v>
      </c>
      <c r="B266" s="34" t="s">
        <v>476</v>
      </c>
      <c r="C266" s="34" t="s">
        <v>477</v>
      </c>
      <c r="D266" s="34" t="s">
        <v>478</v>
      </c>
      <c r="E266" s="34" t="s">
        <v>479</v>
      </c>
      <c r="F266" s="34" t="s">
        <v>175</v>
      </c>
      <c r="G266" s="34"/>
      <c r="H266" s="34" t="s">
        <v>151</v>
      </c>
      <c r="I266" s="34" t="s">
        <v>23</v>
      </c>
      <c r="J266" s="35" t="s">
        <v>177</v>
      </c>
      <c r="K266" s="35" t="s">
        <v>480</v>
      </c>
    </row>
    <row r="267" spans="1:11" ht="24" customHeight="1">
      <c r="A267" s="33" t="s">
        <v>105</v>
      </c>
      <c r="B267" s="34" t="s">
        <v>481</v>
      </c>
      <c r="C267" s="34" t="s">
        <v>482</v>
      </c>
      <c r="D267" s="34" t="s">
        <v>483</v>
      </c>
      <c r="E267" s="34"/>
      <c r="F267" s="34" t="s">
        <v>157</v>
      </c>
      <c r="G267" s="34"/>
      <c r="H267" s="34" t="s">
        <v>151</v>
      </c>
      <c r="I267" s="34" t="s">
        <v>797</v>
      </c>
      <c r="J267" s="35" t="s">
        <v>159</v>
      </c>
      <c r="K267" s="35"/>
    </row>
    <row r="268" spans="1:11" ht="24" customHeight="1">
      <c r="A268" s="33" t="s">
        <v>105</v>
      </c>
      <c r="B268" s="34" t="s">
        <v>484</v>
      </c>
      <c r="C268" s="34" t="s">
        <v>485</v>
      </c>
      <c r="D268" s="34" t="s">
        <v>486</v>
      </c>
      <c r="E268" s="34" t="s">
        <v>487</v>
      </c>
      <c r="F268" s="34" t="s">
        <v>488</v>
      </c>
      <c r="G268" s="34"/>
      <c r="H268" s="34" t="s">
        <v>151</v>
      </c>
      <c r="I268" s="34" t="s">
        <v>23</v>
      </c>
      <c r="J268" s="35" t="s">
        <v>490</v>
      </c>
      <c r="K268" s="35" t="s">
        <v>491</v>
      </c>
    </row>
    <row r="269" spans="1:11" ht="24" customHeight="1">
      <c r="A269" s="33" t="s">
        <v>105</v>
      </c>
      <c r="B269" s="34" t="s">
        <v>492</v>
      </c>
      <c r="C269" s="34" t="s">
        <v>493</v>
      </c>
      <c r="D269" s="34" t="s">
        <v>494</v>
      </c>
      <c r="E269" s="34"/>
      <c r="F269" s="34" t="s">
        <v>397</v>
      </c>
      <c r="G269" s="34"/>
      <c r="H269" s="34" t="s">
        <v>151</v>
      </c>
      <c r="I269" s="34" t="s">
        <v>666</v>
      </c>
      <c r="J269" s="35" t="s">
        <v>399</v>
      </c>
      <c r="K269" s="35"/>
    </row>
    <row r="270" spans="1:11" ht="34.5">
      <c r="A270" s="33" t="s">
        <v>105</v>
      </c>
      <c r="B270" s="34" t="s">
        <v>496</v>
      </c>
      <c r="C270" s="34" t="s">
        <v>497</v>
      </c>
      <c r="D270" s="34" t="s">
        <v>498</v>
      </c>
      <c r="E270" s="34" t="s">
        <v>499</v>
      </c>
      <c r="F270" s="34" t="s">
        <v>187</v>
      </c>
      <c r="G270" s="34"/>
      <c r="H270" s="34" t="s">
        <v>151</v>
      </c>
      <c r="I270" s="34" t="s">
        <v>704</v>
      </c>
      <c r="J270" s="35" t="s">
        <v>189</v>
      </c>
      <c r="K270" s="35" t="s">
        <v>501</v>
      </c>
    </row>
    <row r="271" spans="1:11" ht="24" customHeight="1">
      <c r="A271" s="33" t="s">
        <v>105</v>
      </c>
      <c r="B271" s="34" t="s">
        <v>502</v>
      </c>
      <c r="C271" s="34" t="s">
        <v>503</v>
      </c>
      <c r="D271" s="34" t="s">
        <v>504</v>
      </c>
      <c r="E271" s="34"/>
      <c r="F271" s="34" t="s">
        <v>505</v>
      </c>
      <c r="G271" s="34"/>
      <c r="H271" s="34" t="s">
        <v>151</v>
      </c>
      <c r="I271" s="34" t="s">
        <v>705</v>
      </c>
      <c r="J271" s="35" t="s">
        <v>507</v>
      </c>
      <c r="K271" s="35"/>
    </row>
    <row r="272" spans="1:11" ht="34.5">
      <c r="A272" s="33" t="s">
        <v>105</v>
      </c>
      <c r="B272" s="34" t="s">
        <v>508</v>
      </c>
      <c r="C272" s="34" t="s">
        <v>509</v>
      </c>
      <c r="D272" s="34" t="s">
        <v>510</v>
      </c>
      <c r="E272" s="34" t="s">
        <v>511</v>
      </c>
      <c r="F272" s="34" t="s">
        <v>187</v>
      </c>
      <c r="G272" s="34"/>
      <c r="H272" s="34" t="s">
        <v>151</v>
      </c>
      <c r="I272" s="34" t="s">
        <v>704</v>
      </c>
      <c r="J272" s="35" t="s">
        <v>189</v>
      </c>
      <c r="K272" s="35" t="s">
        <v>512</v>
      </c>
    </row>
    <row r="273" spans="1:11" ht="24" customHeight="1">
      <c r="A273" s="33" t="s">
        <v>105</v>
      </c>
      <c r="B273" s="34" t="s">
        <v>513</v>
      </c>
      <c r="C273" s="34" t="s">
        <v>514</v>
      </c>
      <c r="D273" s="34" t="s">
        <v>515</v>
      </c>
      <c r="E273" s="34"/>
      <c r="F273" s="34" t="s">
        <v>505</v>
      </c>
      <c r="G273" s="34"/>
      <c r="H273" s="34" t="s">
        <v>151</v>
      </c>
      <c r="I273" s="34" t="s">
        <v>705</v>
      </c>
      <c r="J273" s="35" t="s">
        <v>507</v>
      </c>
      <c r="K273" s="35"/>
    </row>
    <row r="274" spans="1:11" ht="57.6">
      <c r="A274" s="33" t="s">
        <v>105</v>
      </c>
      <c r="B274" s="34" t="s">
        <v>516</v>
      </c>
      <c r="C274" s="34" t="s">
        <v>517</v>
      </c>
      <c r="D274" s="34" t="s">
        <v>518</v>
      </c>
      <c r="E274" s="34" t="s">
        <v>519</v>
      </c>
      <c r="F274" s="34" t="s">
        <v>273</v>
      </c>
      <c r="G274" s="34"/>
      <c r="H274" s="34" t="s">
        <v>151</v>
      </c>
      <c r="I274" s="34" t="s">
        <v>798</v>
      </c>
      <c r="J274" s="35" t="s">
        <v>275</v>
      </c>
      <c r="K274" s="35" t="s">
        <v>521</v>
      </c>
    </row>
    <row r="275" spans="1:11" ht="24" customHeight="1">
      <c r="A275" s="33" t="s">
        <v>105</v>
      </c>
      <c r="B275" s="34" t="s">
        <v>522</v>
      </c>
      <c r="C275" s="34" t="s">
        <v>523</v>
      </c>
      <c r="D275" s="34" t="s">
        <v>524</v>
      </c>
      <c r="E275" s="34"/>
      <c r="F275" s="34" t="s">
        <v>157</v>
      </c>
      <c r="G275" s="34"/>
      <c r="H275" s="34" t="s">
        <v>151</v>
      </c>
      <c r="I275" s="34" t="s">
        <v>799</v>
      </c>
      <c r="J275" s="35" t="s">
        <v>159</v>
      </c>
      <c r="K275" s="35"/>
    </row>
    <row r="276" spans="1:11" ht="92.1">
      <c r="A276" s="33" t="s">
        <v>105</v>
      </c>
      <c r="B276" s="34" t="s">
        <v>538</v>
      </c>
      <c r="C276" s="34" t="s">
        <v>538</v>
      </c>
      <c r="D276" s="34" t="s">
        <v>539</v>
      </c>
      <c r="E276" s="34" t="s">
        <v>540</v>
      </c>
      <c r="F276" s="34" t="s">
        <v>187</v>
      </c>
      <c r="G276" s="34"/>
      <c r="H276" s="34" t="s">
        <v>151</v>
      </c>
      <c r="I276" s="34" t="s">
        <v>800</v>
      </c>
      <c r="J276" s="35" t="s">
        <v>189</v>
      </c>
      <c r="K276" s="35" t="s">
        <v>542</v>
      </c>
    </row>
    <row r="277" spans="1:11" ht="24" customHeight="1">
      <c r="A277" s="33" t="s">
        <v>105</v>
      </c>
      <c r="B277" s="34" t="s">
        <v>543</v>
      </c>
      <c r="C277" s="34" t="s">
        <v>543</v>
      </c>
      <c r="D277" s="34" t="s">
        <v>544</v>
      </c>
      <c r="E277" s="34"/>
      <c r="F277" s="34" t="s">
        <v>545</v>
      </c>
      <c r="G277" s="34"/>
      <c r="H277" s="34" t="s">
        <v>151</v>
      </c>
      <c r="I277" s="34" t="s">
        <v>801</v>
      </c>
      <c r="J277" s="35" t="s">
        <v>546</v>
      </c>
      <c r="K277" s="35"/>
    </row>
    <row r="278" spans="1:11" ht="69">
      <c r="A278" s="33" t="s">
        <v>105</v>
      </c>
      <c r="B278" s="34" t="s">
        <v>547</v>
      </c>
      <c r="C278" s="34" t="s">
        <v>548</v>
      </c>
      <c r="D278" s="34" t="s">
        <v>549</v>
      </c>
      <c r="E278" s="34" t="s">
        <v>550</v>
      </c>
      <c r="F278" s="34" t="s">
        <v>259</v>
      </c>
      <c r="G278" s="34"/>
      <c r="H278" s="34" t="s">
        <v>151</v>
      </c>
      <c r="I278" s="34" t="s">
        <v>802</v>
      </c>
      <c r="J278" s="35" t="s">
        <v>261</v>
      </c>
      <c r="K278" s="35" t="s">
        <v>552</v>
      </c>
    </row>
    <row r="279" spans="1:11" ht="24" customHeight="1">
      <c r="A279" s="33" t="s">
        <v>105</v>
      </c>
      <c r="B279" s="34" t="s">
        <v>553</v>
      </c>
      <c r="C279" s="34" t="s">
        <v>554</v>
      </c>
      <c r="D279" s="34" t="s">
        <v>555</v>
      </c>
      <c r="E279" s="34"/>
      <c r="F279" s="34" t="s">
        <v>157</v>
      </c>
      <c r="G279" s="34"/>
      <c r="H279" s="34" t="s">
        <v>151</v>
      </c>
      <c r="I279" s="34" t="s">
        <v>803</v>
      </c>
      <c r="J279" s="35" t="s">
        <v>159</v>
      </c>
      <c r="K279" s="35"/>
    </row>
    <row r="280" spans="1:11" ht="45.95">
      <c r="A280" s="33" t="s">
        <v>105</v>
      </c>
      <c r="B280" s="34" t="s">
        <v>557</v>
      </c>
      <c r="C280" s="34" t="s">
        <v>558</v>
      </c>
      <c r="D280" s="34" t="s">
        <v>559</v>
      </c>
      <c r="E280" s="34" t="s">
        <v>560</v>
      </c>
      <c r="F280" s="34" t="s">
        <v>290</v>
      </c>
      <c r="G280" s="34"/>
      <c r="H280" s="34" t="s">
        <v>151</v>
      </c>
      <c r="I280" s="34">
        <v>1727430</v>
      </c>
      <c r="J280" s="35" t="s">
        <v>292</v>
      </c>
      <c r="K280" s="35" t="s">
        <v>561</v>
      </c>
    </row>
    <row r="281" spans="1:11" ht="24" customHeight="1">
      <c r="A281" s="33" t="s">
        <v>105</v>
      </c>
      <c r="B281" s="34" t="s">
        <v>562</v>
      </c>
      <c r="C281" s="34" t="s">
        <v>563</v>
      </c>
      <c r="D281" s="34" t="s">
        <v>564</v>
      </c>
      <c r="E281" s="34"/>
      <c r="F281" s="34" t="s">
        <v>335</v>
      </c>
      <c r="G281" s="34"/>
      <c r="H281" s="34" t="s">
        <v>151</v>
      </c>
      <c r="I281" s="34" t="s">
        <v>804</v>
      </c>
      <c r="J281" s="35" t="s">
        <v>337</v>
      </c>
      <c r="K281" s="35"/>
    </row>
    <row r="282" spans="1:11" ht="24" customHeight="1">
      <c r="A282" s="33" t="s">
        <v>105</v>
      </c>
      <c r="B282" s="34" t="s">
        <v>566</v>
      </c>
      <c r="C282" s="34" t="s">
        <v>567</v>
      </c>
      <c r="D282" s="34" t="s">
        <v>568</v>
      </c>
      <c r="E282" s="34" t="s">
        <v>569</v>
      </c>
      <c r="F282" s="34" t="s">
        <v>273</v>
      </c>
      <c r="G282" s="34"/>
      <c r="H282" s="34" t="s">
        <v>151</v>
      </c>
      <c r="I282" s="34" t="s">
        <v>770</v>
      </c>
      <c r="J282" s="35" t="s">
        <v>275</v>
      </c>
      <c r="K282" s="35" t="s">
        <v>571</v>
      </c>
    </row>
    <row r="283" spans="1:11" ht="24" customHeight="1">
      <c r="A283" s="33" t="s">
        <v>105</v>
      </c>
      <c r="B283" s="34" t="s">
        <v>572</v>
      </c>
      <c r="C283" s="34" t="s">
        <v>573</v>
      </c>
      <c r="D283" s="34" t="s">
        <v>574</v>
      </c>
      <c r="E283" s="34"/>
      <c r="F283" s="34" t="s">
        <v>157</v>
      </c>
      <c r="G283" s="34"/>
      <c r="H283" s="34" t="s">
        <v>151</v>
      </c>
      <c r="I283" s="34" t="s">
        <v>805</v>
      </c>
      <c r="J283" s="35" t="s">
        <v>159</v>
      </c>
      <c r="K283" s="35"/>
    </row>
    <row r="284" spans="1:11" ht="45.95">
      <c r="A284" s="33" t="s">
        <v>105</v>
      </c>
      <c r="B284" s="34" t="s">
        <v>576</v>
      </c>
      <c r="C284" s="34" t="s">
        <v>577</v>
      </c>
      <c r="D284" s="34" t="s">
        <v>578</v>
      </c>
      <c r="E284" s="34" t="s">
        <v>579</v>
      </c>
      <c r="F284" s="34" t="s">
        <v>290</v>
      </c>
      <c r="G284" s="34"/>
      <c r="H284" s="34" t="s">
        <v>151</v>
      </c>
      <c r="I284" s="34">
        <v>1727430</v>
      </c>
      <c r="J284" s="35" t="s">
        <v>292</v>
      </c>
      <c r="K284" s="35" t="s">
        <v>580</v>
      </c>
    </row>
    <row r="285" spans="1:11" ht="24" customHeight="1">
      <c r="A285" s="33" t="s">
        <v>105</v>
      </c>
      <c r="B285" s="34" t="s">
        <v>581</v>
      </c>
      <c r="C285" s="34" t="s">
        <v>582</v>
      </c>
      <c r="D285" s="34" t="s">
        <v>583</v>
      </c>
      <c r="E285" s="34"/>
      <c r="F285" s="34" t="s">
        <v>335</v>
      </c>
      <c r="G285" s="34"/>
      <c r="H285" s="34" t="s">
        <v>151</v>
      </c>
      <c r="I285" s="34" t="s">
        <v>804</v>
      </c>
      <c r="J285" s="35" t="s">
        <v>337</v>
      </c>
      <c r="K285" s="35"/>
    </row>
    <row r="286" spans="1:11" ht="24" customHeight="1">
      <c r="A286" s="33" t="s">
        <v>105</v>
      </c>
      <c r="B286" s="34" t="s">
        <v>584</v>
      </c>
      <c r="C286" s="34" t="s">
        <v>585</v>
      </c>
      <c r="D286" s="34" t="s">
        <v>586</v>
      </c>
      <c r="E286" s="34" t="s">
        <v>587</v>
      </c>
      <c r="F286" s="34" t="s">
        <v>273</v>
      </c>
      <c r="G286" s="34"/>
      <c r="H286" s="34" t="s">
        <v>151</v>
      </c>
      <c r="I286" s="34" t="s">
        <v>770</v>
      </c>
      <c r="J286" s="35" t="s">
        <v>275</v>
      </c>
      <c r="K286" s="35" t="s">
        <v>589</v>
      </c>
    </row>
    <row r="287" spans="1:11" ht="24" customHeight="1">
      <c r="A287" s="33" t="s">
        <v>105</v>
      </c>
      <c r="B287" s="34" t="s">
        <v>590</v>
      </c>
      <c r="C287" s="34" t="s">
        <v>591</v>
      </c>
      <c r="D287" s="34" t="s">
        <v>592</v>
      </c>
      <c r="E287" s="34"/>
      <c r="F287" s="34" t="s">
        <v>157</v>
      </c>
      <c r="G287" s="34"/>
      <c r="H287" s="34" t="s">
        <v>151</v>
      </c>
      <c r="I287" s="34" t="s">
        <v>805</v>
      </c>
      <c r="J287" s="35" t="s">
        <v>159</v>
      </c>
      <c r="K287" s="35"/>
    </row>
    <row r="288" spans="1:11" ht="24" customHeight="1">
      <c r="A288" s="33" t="s">
        <v>105</v>
      </c>
      <c r="B288" s="34" t="s">
        <v>593</v>
      </c>
      <c r="C288" s="34" t="s">
        <v>594</v>
      </c>
      <c r="D288" s="34" t="s">
        <v>595</v>
      </c>
      <c r="E288" s="34" t="s">
        <v>596</v>
      </c>
      <c r="F288" s="34" t="s">
        <v>223</v>
      </c>
      <c r="G288" s="34"/>
      <c r="H288" s="34" t="s">
        <v>151</v>
      </c>
      <c r="I288" s="34" t="s">
        <v>714</v>
      </c>
      <c r="J288" s="35" t="s">
        <v>225</v>
      </c>
      <c r="K288" s="35" t="s">
        <v>598</v>
      </c>
    </row>
    <row r="289" spans="1:11" ht="24" customHeight="1">
      <c r="A289" s="33" t="s">
        <v>105</v>
      </c>
      <c r="B289" s="34" t="s">
        <v>599</v>
      </c>
      <c r="C289" s="34" t="s">
        <v>600</v>
      </c>
      <c r="D289" s="34" t="s">
        <v>601</v>
      </c>
      <c r="E289" s="34"/>
      <c r="F289" s="34" t="s">
        <v>157</v>
      </c>
      <c r="G289" s="34"/>
      <c r="H289" s="34" t="s">
        <v>151</v>
      </c>
      <c r="I289" s="34" t="s">
        <v>715</v>
      </c>
      <c r="J289" s="35" t="s">
        <v>159</v>
      </c>
      <c r="K289" s="35"/>
    </row>
    <row r="290" spans="1:11" ht="24" customHeight="1">
      <c r="A290" s="33" t="s">
        <v>105</v>
      </c>
      <c r="B290" s="34" t="s">
        <v>603</v>
      </c>
      <c r="C290" s="34" t="s">
        <v>604</v>
      </c>
      <c r="D290" s="34" t="s">
        <v>605</v>
      </c>
      <c r="E290" s="34" t="s">
        <v>606</v>
      </c>
      <c r="F290" s="34" t="s">
        <v>223</v>
      </c>
      <c r="G290" s="34"/>
      <c r="H290" s="34" t="s">
        <v>151</v>
      </c>
      <c r="I290" s="34" t="s">
        <v>714</v>
      </c>
      <c r="J290" s="35" t="s">
        <v>225</v>
      </c>
      <c r="K290" s="35" t="s">
        <v>607</v>
      </c>
    </row>
    <row r="291" spans="1:11" ht="24" customHeight="1">
      <c r="A291" s="33" t="s">
        <v>105</v>
      </c>
      <c r="B291" s="34" t="s">
        <v>608</v>
      </c>
      <c r="C291" s="34" t="s">
        <v>609</v>
      </c>
      <c r="D291" s="34" t="s">
        <v>610</v>
      </c>
      <c r="E291" s="34"/>
      <c r="F291" s="34" t="s">
        <v>157</v>
      </c>
      <c r="G291" s="34"/>
      <c r="H291" s="34" t="s">
        <v>151</v>
      </c>
      <c r="I291" s="34" t="s">
        <v>715</v>
      </c>
      <c r="J291" s="35" t="s">
        <v>159</v>
      </c>
      <c r="K291" s="35"/>
    </row>
    <row r="292" spans="1:11" ht="45.95">
      <c r="A292" s="33" t="s">
        <v>105</v>
      </c>
      <c r="B292" s="34" t="s">
        <v>611</v>
      </c>
      <c r="C292" s="34" t="s">
        <v>612</v>
      </c>
      <c r="D292" s="34" t="s">
        <v>613</v>
      </c>
      <c r="E292" s="34" t="s">
        <v>614</v>
      </c>
      <c r="F292" s="34" t="s">
        <v>290</v>
      </c>
      <c r="G292" s="34"/>
      <c r="H292" s="34" t="s">
        <v>151</v>
      </c>
      <c r="I292" s="34" t="s">
        <v>23</v>
      </c>
      <c r="J292" s="35" t="s">
        <v>292</v>
      </c>
      <c r="K292" s="35" t="s">
        <v>616</v>
      </c>
    </row>
    <row r="293" spans="1:11" ht="24" customHeight="1">
      <c r="A293" s="33" t="s">
        <v>105</v>
      </c>
      <c r="B293" s="34" t="s">
        <v>617</v>
      </c>
      <c r="C293" s="34" t="s">
        <v>618</v>
      </c>
      <c r="D293" s="34" t="s">
        <v>619</v>
      </c>
      <c r="E293" s="34"/>
      <c r="F293" s="34" t="s">
        <v>397</v>
      </c>
      <c r="G293" s="34"/>
      <c r="H293" s="34" t="s">
        <v>151</v>
      </c>
      <c r="I293" s="34" t="s">
        <v>666</v>
      </c>
      <c r="J293" s="35" t="s">
        <v>399</v>
      </c>
      <c r="K293" s="35"/>
    </row>
    <row r="294" spans="1:11" ht="24" customHeight="1">
      <c r="A294" s="33" t="s">
        <v>105</v>
      </c>
      <c r="B294" s="34" t="s">
        <v>806</v>
      </c>
      <c r="C294" s="34" t="s">
        <v>807</v>
      </c>
      <c r="D294" s="34" t="s">
        <v>808</v>
      </c>
      <c r="E294" s="34" t="s">
        <v>809</v>
      </c>
      <c r="F294" s="34" t="s">
        <v>633</v>
      </c>
      <c r="G294" s="34"/>
      <c r="H294" s="34" t="s">
        <v>151</v>
      </c>
      <c r="I294" s="34" t="s">
        <v>810</v>
      </c>
      <c r="J294" s="35" t="s">
        <v>635</v>
      </c>
      <c r="K294" s="35" t="s">
        <v>811</v>
      </c>
    </row>
    <row r="295" spans="1:11" ht="24" customHeight="1">
      <c r="A295" s="33" t="s">
        <v>105</v>
      </c>
      <c r="B295" s="34" t="s">
        <v>812</v>
      </c>
      <c r="C295" s="34" t="s">
        <v>813</v>
      </c>
      <c r="D295" s="34" t="s">
        <v>814</v>
      </c>
      <c r="E295" s="34" t="s">
        <v>815</v>
      </c>
      <c r="F295" s="34" t="s">
        <v>625</v>
      </c>
      <c r="G295" s="34"/>
      <c r="H295" s="34" t="s">
        <v>151</v>
      </c>
      <c r="I295" s="34" t="s">
        <v>816</v>
      </c>
      <c r="J295" s="35" t="s">
        <v>627</v>
      </c>
      <c r="K295" s="35" t="s">
        <v>817</v>
      </c>
    </row>
    <row r="296" spans="1:11" ht="24" customHeight="1">
      <c r="A296" s="33" t="s">
        <v>105</v>
      </c>
      <c r="B296" s="34" t="s">
        <v>818</v>
      </c>
      <c r="C296" s="34" t="s">
        <v>819</v>
      </c>
      <c r="D296" s="34" t="s">
        <v>820</v>
      </c>
      <c r="E296" s="34" t="s">
        <v>821</v>
      </c>
      <c r="F296" s="34" t="s">
        <v>625</v>
      </c>
      <c r="G296" s="34"/>
      <c r="H296" s="34" t="s">
        <v>151</v>
      </c>
      <c r="I296" s="34" t="s">
        <v>816</v>
      </c>
      <c r="J296" s="35" t="s">
        <v>627</v>
      </c>
      <c r="K296" s="35" t="s">
        <v>822</v>
      </c>
    </row>
    <row r="297" spans="1:11" ht="24" customHeight="1">
      <c r="A297" s="33" t="s">
        <v>105</v>
      </c>
      <c r="B297" s="34" t="s">
        <v>823</v>
      </c>
      <c r="C297" s="34" t="s">
        <v>824</v>
      </c>
      <c r="D297" s="34" t="s">
        <v>825</v>
      </c>
      <c r="E297" s="34" t="s">
        <v>826</v>
      </c>
      <c r="F297" s="34" t="s">
        <v>625</v>
      </c>
      <c r="G297" s="34"/>
      <c r="H297" s="34" t="s">
        <v>151</v>
      </c>
      <c r="I297" s="34" t="s">
        <v>816</v>
      </c>
      <c r="J297" s="35" t="s">
        <v>627</v>
      </c>
      <c r="K297" s="35" t="s">
        <v>827</v>
      </c>
    </row>
    <row r="298" spans="1:11" ht="24" customHeight="1">
      <c r="A298" s="33" t="s">
        <v>105</v>
      </c>
      <c r="B298" s="34" t="s">
        <v>828</v>
      </c>
      <c r="C298" s="34" t="s">
        <v>829</v>
      </c>
      <c r="D298" s="34" t="s">
        <v>830</v>
      </c>
      <c r="E298" s="34" t="s">
        <v>831</v>
      </c>
      <c r="F298" s="34" t="s">
        <v>625</v>
      </c>
      <c r="G298" s="34"/>
      <c r="H298" s="34" t="s">
        <v>151</v>
      </c>
      <c r="I298" s="34" t="s">
        <v>810</v>
      </c>
      <c r="J298" s="35" t="s">
        <v>627</v>
      </c>
      <c r="K298" s="35" t="s">
        <v>832</v>
      </c>
    </row>
    <row r="299" spans="1:11" ht="24" customHeight="1">
      <c r="A299" s="33" t="s">
        <v>105</v>
      </c>
      <c r="B299" s="34" t="s">
        <v>833</v>
      </c>
      <c r="C299" s="34" t="s">
        <v>834</v>
      </c>
      <c r="D299" s="34" t="s">
        <v>835</v>
      </c>
      <c r="E299" s="34" t="s">
        <v>836</v>
      </c>
      <c r="F299" s="34" t="s">
        <v>625</v>
      </c>
      <c r="G299" s="34"/>
      <c r="H299" s="34" t="s">
        <v>151</v>
      </c>
      <c r="I299" s="34">
        <v>0</v>
      </c>
      <c r="J299" s="35" t="s">
        <v>627</v>
      </c>
      <c r="K299" s="35" t="s">
        <v>837</v>
      </c>
    </row>
    <row r="300" spans="1:11" ht="24" customHeight="1">
      <c r="A300" s="33" t="s">
        <v>111</v>
      </c>
      <c r="B300" s="34" t="s">
        <v>146</v>
      </c>
      <c r="C300" s="34" t="s">
        <v>147</v>
      </c>
      <c r="D300" s="34" t="s">
        <v>148</v>
      </c>
      <c r="E300" s="34" t="s">
        <v>149</v>
      </c>
      <c r="F300" s="34" t="s">
        <v>150</v>
      </c>
      <c r="G300" s="34"/>
      <c r="H300" s="34" t="s">
        <v>151</v>
      </c>
      <c r="I300" s="34">
        <v>70</v>
      </c>
      <c r="J300" s="35" t="s">
        <v>152</v>
      </c>
      <c r="K300" s="35" t="s">
        <v>153</v>
      </c>
    </row>
    <row r="301" spans="1:11" ht="24" customHeight="1">
      <c r="A301" s="33" t="s">
        <v>111</v>
      </c>
      <c r="B301" s="34" t="s">
        <v>154</v>
      </c>
      <c r="C301" s="34" t="s">
        <v>155</v>
      </c>
      <c r="D301" s="34" t="s">
        <v>156</v>
      </c>
      <c r="E301" s="34"/>
      <c r="F301" s="34" t="s">
        <v>157</v>
      </c>
      <c r="G301" s="34"/>
      <c r="H301" s="34" t="s">
        <v>151</v>
      </c>
      <c r="I301" s="34" t="s">
        <v>158</v>
      </c>
      <c r="J301" s="35" t="s">
        <v>159</v>
      </c>
      <c r="K301" s="35"/>
    </row>
    <row r="302" spans="1:11" ht="24" customHeight="1">
      <c r="A302" s="33" t="s">
        <v>111</v>
      </c>
      <c r="B302" s="34" t="s">
        <v>838</v>
      </c>
      <c r="C302" s="34" t="s">
        <v>839</v>
      </c>
      <c r="D302" s="34" t="s">
        <v>840</v>
      </c>
      <c r="E302" s="34" t="s">
        <v>841</v>
      </c>
      <c r="F302" s="34" t="s">
        <v>403</v>
      </c>
      <c r="G302" s="34"/>
      <c r="H302" s="34" t="s">
        <v>151</v>
      </c>
      <c r="I302" s="34" t="s">
        <v>428</v>
      </c>
      <c r="J302" s="35" t="s">
        <v>405</v>
      </c>
      <c r="K302" s="35" t="s">
        <v>842</v>
      </c>
    </row>
    <row r="303" spans="1:11" ht="24" customHeight="1">
      <c r="A303" s="33" t="s">
        <v>111</v>
      </c>
      <c r="B303" s="34" t="s">
        <v>160</v>
      </c>
      <c r="C303" s="34" t="s">
        <v>161</v>
      </c>
      <c r="D303" s="34" t="s">
        <v>162</v>
      </c>
      <c r="E303" s="34" t="s">
        <v>163</v>
      </c>
      <c r="F303" s="34" t="s">
        <v>164</v>
      </c>
      <c r="G303" s="34"/>
      <c r="H303" s="34" t="s">
        <v>151</v>
      </c>
      <c r="I303" s="34">
        <v>889</v>
      </c>
      <c r="J303" s="35" t="s">
        <v>165</v>
      </c>
      <c r="K303" s="35" t="s">
        <v>166</v>
      </c>
    </row>
    <row r="304" spans="1:11" ht="24" customHeight="1">
      <c r="A304" s="33" t="s">
        <v>111</v>
      </c>
      <c r="B304" s="34" t="s">
        <v>167</v>
      </c>
      <c r="C304" s="34" t="s">
        <v>168</v>
      </c>
      <c r="D304" s="34" t="s">
        <v>169</v>
      </c>
      <c r="E304" s="34"/>
      <c r="F304" s="34" t="s">
        <v>157</v>
      </c>
      <c r="G304" s="34"/>
      <c r="H304" s="34" t="s">
        <v>151</v>
      </c>
      <c r="I304" s="34" t="s">
        <v>170</v>
      </c>
      <c r="J304" s="35" t="s">
        <v>159</v>
      </c>
      <c r="K304" s="35"/>
    </row>
    <row r="305" spans="1:11" ht="57.6">
      <c r="A305" s="33" t="s">
        <v>111</v>
      </c>
      <c r="B305" s="34" t="s">
        <v>171</v>
      </c>
      <c r="C305" s="34" t="s">
        <v>172</v>
      </c>
      <c r="D305" s="34" t="s">
        <v>173</v>
      </c>
      <c r="E305" s="34" t="s">
        <v>174</v>
      </c>
      <c r="F305" s="34" t="s">
        <v>175</v>
      </c>
      <c r="G305" s="34"/>
      <c r="H305" s="34" t="s">
        <v>151</v>
      </c>
      <c r="I305" s="34" t="s">
        <v>176</v>
      </c>
      <c r="J305" s="35" t="s">
        <v>177</v>
      </c>
      <c r="K305" s="35" t="s">
        <v>178</v>
      </c>
    </row>
    <row r="306" spans="1:11" ht="24" customHeight="1">
      <c r="A306" s="33" t="s">
        <v>111</v>
      </c>
      <c r="B306" s="34" t="s">
        <v>179</v>
      </c>
      <c r="C306" s="34" t="s">
        <v>180</v>
      </c>
      <c r="D306" s="34" t="s">
        <v>181</v>
      </c>
      <c r="E306" s="34"/>
      <c r="F306" s="34" t="s">
        <v>157</v>
      </c>
      <c r="G306" s="34"/>
      <c r="H306" s="34" t="s">
        <v>151</v>
      </c>
      <c r="I306" s="34" t="s">
        <v>182</v>
      </c>
      <c r="J306" s="35" t="s">
        <v>159</v>
      </c>
      <c r="K306" s="35"/>
    </row>
    <row r="307" spans="1:11" ht="45.95">
      <c r="A307" s="33" t="s">
        <v>111</v>
      </c>
      <c r="B307" s="34" t="s">
        <v>183</v>
      </c>
      <c r="C307" s="34" t="s">
        <v>184</v>
      </c>
      <c r="D307" s="34" t="s">
        <v>185</v>
      </c>
      <c r="E307" s="34" t="s">
        <v>186</v>
      </c>
      <c r="F307" s="34" t="s">
        <v>187</v>
      </c>
      <c r="G307" s="34"/>
      <c r="H307" s="34" t="s">
        <v>151</v>
      </c>
      <c r="I307" s="34" t="s">
        <v>188</v>
      </c>
      <c r="J307" s="35" t="s">
        <v>189</v>
      </c>
      <c r="K307" s="35" t="s">
        <v>190</v>
      </c>
    </row>
    <row r="308" spans="1:11" ht="24" customHeight="1">
      <c r="A308" s="33" t="s">
        <v>111</v>
      </c>
      <c r="B308" s="34" t="s">
        <v>191</v>
      </c>
      <c r="C308" s="34" t="s">
        <v>192</v>
      </c>
      <c r="D308" s="34" t="s">
        <v>193</v>
      </c>
      <c r="E308" s="34"/>
      <c r="F308" s="34" t="s">
        <v>194</v>
      </c>
      <c r="G308" s="34"/>
      <c r="H308" s="34" t="s">
        <v>151</v>
      </c>
      <c r="I308" s="34" t="s">
        <v>195</v>
      </c>
      <c r="J308" s="35" t="s">
        <v>196</v>
      </c>
      <c r="K308" s="35"/>
    </row>
    <row r="309" spans="1:11" ht="34.5">
      <c r="A309" s="33" t="s">
        <v>111</v>
      </c>
      <c r="B309" s="34" t="s">
        <v>197</v>
      </c>
      <c r="C309" s="34" t="s">
        <v>198</v>
      </c>
      <c r="D309" s="34" t="s">
        <v>199</v>
      </c>
      <c r="E309" s="34" t="s">
        <v>200</v>
      </c>
      <c r="F309" s="34" t="s">
        <v>187</v>
      </c>
      <c r="G309" s="34"/>
      <c r="H309" s="34" t="s">
        <v>151</v>
      </c>
      <c r="I309" s="34" t="s">
        <v>188</v>
      </c>
      <c r="J309" s="35" t="s">
        <v>189</v>
      </c>
      <c r="K309" s="35" t="s">
        <v>201</v>
      </c>
    </row>
    <row r="310" spans="1:11" ht="24" customHeight="1">
      <c r="A310" s="33" t="s">
        <v>111</v>
      </c>
      <c r="B310" s="34" t="s">
        <v>202</v>
      </c>
      <c r="C310" s="34" t="s">
        <v>203</v>
      </c>
      <c r="D310" s="34" t="s">
        <v>204</v>
      </c>
      <c r="E310" s="34"/>
      <c r="F310" s="34" t="s">
        <v>205</v>
      </c>
      <c r="G310" s="34"/>
      <c r="H310" s="34" t="s">
        <v>151</v>
      </c>
      <c r="I310" s="34" t="s">
        <v>195</v>
      </c>
      <c r="J310" s="35" t="s">
        <v>206</v>
      </c>
      <c r="K310" s="35"/>
    </row>
    <row r="311" spans="1:11" ht="24" customHeight="1">
      <c r="A311" s="33" t="s">
        <v>111</v>
      </c>
      <c r="B311" s="34" t="s">
        <v>207</v>
      </c>
      <c r="C311" s="34" t="s">
        <v>208</v>
      </c>
      <c r="D311" s="34" t="s">
        <v>209</v>
      </c>
      <c r="E311" s="34" t="s">
        <v>210</v>
      </c>
      <c r="F311" s="34" t="s">
        <v>187</v>
      </c>
      <c r="G311" s="34"/>
      <c r="H311" s="34" t="s">
        <v>151</v>
      </c>
      <c r="I311" s="34" t="s">
        <v>211</v>
      </c>
      <c r="J311" s="35" t="s">
        <v>189</v>
      </c>
      <c r="K311" s="35" t="s">
        <v>212</v>
      </c>
    </row>
    <row r="312" spans="1:11" ht="24" customHeight="1">
      <c r="A312" s="33" t="s">
        <v>111</v>
      </c>
      <c r="B312" s="34" t="s">
        <v>213</v>
      </c>
      <c r="C312" s="34" t="s">
        <v>214</v>
      </c>
      <c r="D312" s="34" t="s">
        <v>215</v>
      </c>
      <c r="E312" s="34"/>
      <c r="F312" s="34" t="s">
        <v>216</v>
      </c>
      <c r="G312" s="34"/>
      <c r="H312" s="34" t="s">
        <v>151</v>
      </c>
      <c r="I312" s="34" t="s">
        <v>217</v>
      </c>
      <c r="J312" s="35" t="s">
        <v>218</v>
      </c>
      <c r="K312" s="35"/>
    </row>
    <row r="313" spans="1:11" ht="24" customHeight="1">
      <c r="A313" s="33" t="s">
        <v>111</v>
      </c>
      <c r="B313" s="34" t="s">
        <v>219</v>
      </c>
      <c r="C313" s="34" t="s">
        <v>220</v>
      </c>
      <c r="D313" s="34" t="s">
        <v>221</v>
      </c>
      <c r="E313" s="34" t="s">
        <v>222</v>
      </c>
      <c r="F313" s="34" t="s">
        <v>223</v>
      </c>
      <c r="G313" s="34"/>
      <c r="H313" s="34" t="s">
        <v>151</v>
      </c>
      <c r="I313" s="34" t="s">
        <v>224</v>
      </c>
      <c r="J313" s="35" t="s">
        <v>225</v>
      </c>
      <c r="K313" s="35" t="s">
        <v>226</v>
      </c>
    </row>
    <row r="314" spans="1:11" ht="24" customHeight="1">
      <c r="A314" s="33" t="s">
        <v>111</v>
      </c>
      <c r="B314" s="34" t="s">
        <v>227</v>
      </c>
      <c r="C314" s="34" t="s">
        <v>228</v>
      </c>
      <c r="D314" s="34" t="s">
        <v>229</v>
      </c>
      <c r="E314" s="34"/>
      <c r="F314" s="34" t="s">
        <v>157</v>
      </c>
      <c r="G314" s="34"/>
      <c r="H314" s="34" t="s">
        <v>151</v>
      </c>
      <c r="I314" s="34" t="s">
        <v>230</v>
      </c>
      <c r="J314" s="35" t="s">
        <v>159</v>
      </c>
      <c r="K314" s="35"/>
    </row>
    <row r="315" spans="1:11" ht="24" customHeight="1">
      <c r="A315" s="33" t="s">
        <v>111</v>
      </c>
      <c r="B315" s="34" t="s">
        <v>231</v>
      </c>
      <c r="C315" s="34" t="s">
        <v>232</v>
      </c>
      <c r="D315" s="34" t="s">
        <v>233</v>
      </c>
      <c r="E315" s="34" t="s">
        <v>234</v>
      </c>
      <c r="F315" s="34" t="s">
        <v>235</v>
      </c>
      <c r="G315" s="34"/>
      <c r="H315" s="34" t="s">
        <v>151</v>
      </c>
      <c r="I315" s="34" t="s">
        <v>236</v>
      </c>
      <c r="J315" s="35" t="s">
        <v>237</v>
      </c>
      <c r="K315" s="35" t="s">
        <v>238</v>
      </c>
    </row>
    <row r="316" spans="1:11" ht="24" customHeight="1">
      <c r="A316" s="33" t="s">
        <v>111</v>
      </c>
      <c r="B316" s="34" t="s">
        <v>239</v>
      </c>
      <c r="C316" s="34" t="s">
        <v>240</v>
      </c>
      <c r="D316" s="34" t="s">
        <v>241</v>
      </c>
      <c r="E316" s="34"/>
      <c r="F316" s="34" t="s">
        <v>157</v>
      </c>
      <c r="G316" s="34"/>
      <c r="H316" s="34" t="s">
        <v>151</v>
      </c>
      <c r="I316" s="34" t="s">
        <v>242</v>
      </c>
      <c r="J316" s="35" t="s">
        <v>159</v>
      </c>
      <c r="K316" s="35"/>
    </row>
    <row r="317" spans="1:11" ht="34.5">
      <c r="A317" s="33" t="s">
        <v>111</v>
      </c>
      <c r="B317" s="34" t="s">
        <v>243</v>
      </c>
      <c r="C317" s="34" t="s">
        <v>244</v>
      </c>
      <c r="D317" s="34" t="s">
        <v>245</v>
      </c>
      <c r="E317" s="34" t="s">
        <v>246</v>
      </c>
      <c r="F317" s="34" t="s">
        <v>223</v>
      </c>
      <c r="G317" s="34"/>
      <c r="H317" s="34" t="s">
        <v>151</v>
      </c>
      <c r="I317" s="34" t="s">
        <v>247</v>
      </c>
      <c r="J317" s="35" t="s">
        <v>225</v>
      </c>
      <c r="K317" s="35" t="s">
        <v>248</v>
      </c>
    </row>
    <row r="318" spans="1:11" ht="24" customHeight="1">
      <c r="A318" s="33" t="s">
        <v>111</v>
      </c>
      <c r="B318" s="34" t="s">
        <v>249</v>
      </c>
      <c r="C318" s="34" t="s">
        <v>250</v>
      </c>
      <c r="D318" s="34" t="s">
        <v>251</v>
      </c>
      <c r="E318" s="34"/>
      <c r="F318" s="34" t="s">
        <v>252</v>
      </c>
      <c r="G318" s="34"/>
      <c r="H318" s="34" t="s">
        <v>151</v>
      </c>
      <c r="I318" s="34" t="s">
        <v>253</v>
      </c>
      <c r="J318" s="35" t="s">
        <v>254</v>
      </c>
      <c r="K318" s="35"/>
    </row>
    <row r="319" spans="1:11" ht="34.5">
      <c r="A319" s="33" t="s">
        <v>111</v>
      </c>
      <c r="B319" s="34" t="s">
        <v>255</v>
      </c>
      <c r="C319" s="34" t="s">
        <v>256</v>
      </c>
      <c r="D319" s="34" t="s">
        <v>257</v>
      </c>
      <c r="E319" s="34" t="s">
        <v>258</v>
      </c>
      <c r="F319" s="34" t="s">
        <v>259</v>
      </c>
      <c r="G319" s="34"/>
      <c r="H319" s="34" t="s">
        <v>151</v>
      </c>
      <c r="I319" s="34" t="s">
        <v>260</v>
      </c>
      <c r="J319" s="35" t="s">
        <v>261</v>
      </c>
      <c r="K319" s="35" t="s">
        <v>262</v>
      </c>
    </row>
    <row r="320" spans="1:11" ht="24" customHeight="1">
      <c r="A320" s="33" t="s">
        <v>111</v>
      </c>
      <c r="B320" s="34" t="s">
        <v>263</v>
      </c>
      <c r="C320" s="34" t="s">
        <v>264</v>
      </c>
      <c r="D320" s="34" t="s">
        <v>265</v>
      </c>
      <c r="E320" s="34"/>
      <c r="F320" s="34" t="s">
        <v>266</v>
      </c>
      <c r="G320" s="34"/>
      <c r="H320" s="34" t="s">
        <v>151</v>
      </c>
      <c r="I320" s="34" t="s">
        <v>267</v>
      </c>
      <c r="J320" s="35" t="s">
        <v>268</v>
      </c>
      <c r="K320" s="35"/>
    </row>
    <row r="321" spans="1:11" ht="24" customHeight="1">
      <c r="A321" s="33" t="s">
        <v>111</v>
      </c>
      <c r="B321" s="34" t="s">
        <v>843</v>
      </c>
      <c r="C321" s="34" t="s">
        <v>844</v>
      </c>
      <c r="D321" s="34" t="s">
        <v>843</v>
      </c>
      <c r="E321" s="34" t="s">
        <v>845</v>
      </c>
      <c r="F321" s="34" t="s">
        <v>625</v>
      </c>
      <c r="G321" s="34"/>
      <c r="H321" s="34" t="s">
        <v>151</v>
      </c>
      <c r="I321" s="34" t="s">
        <v>846</v>
      </c>
      <c r="J321" s="35" t="s">
        <v>627</v>
      </c>
      <c r="K321" s="35" t="s">
        <v>847</v>
      </c>
    </row>
    <row r="322" spans="1:11" ht="57.6">
      <c r="A322" s="33" t="s">
        <v>111</v>
      </c>
      <c r="B322" s="34" t="s">
        <v>269</v>
      </c>
      <c r="C322" s="34" t="s">
        <v>270</v>
      </c>
      <c r="D322" s="34" t="s">
        <v>271</v>
      </c>
      <c r="E322" s="34" t="s">
        <v>272</v>
      </c>
      <c r="F322" s="34" t="s">
        <v>273</v>
      </c>
      <c r="G322" s="34"/>
      <c r="H322" s="34" t="s">
        <v>151</v>
      </c>
      <c r="I322" s="34" t="s">
        <v>274</v>
      </c>
      <c r="J322" s="35" t="s">
        <v>275</v>
      </c>
      <c r="K322" s="35" t="s">
        <v>276</v>
      </c>
    </row>
    <row r="323" spans="1:11" ht="24" customHeight="1">
      <c r="A323" s="33" t="s">
        <v>111</v>
      </c>
      <c r="B323" s="34" t="s">
        <v>277</v>
      </c>
      <c r="C323" s="34" t="s">
        <v>278</v>
      </c>
      <c r="D323" s="34" t="s">
        <v>279</v>
      </c>
      <c r="E323" s="34"/>
      <c r="F323" s="34" t="s">
        <v>157</v>
      </c>
      <c r="G323" s="34"/>
      <c r="H323" s="34" t="s">
        <v>151</v>
      </c>
      <c r="I323" s="34" t="s">
        <v>280</v>
      </c>
      <c r="J323" s="35" t="s">
        <v>159</v>
      </c>
      <c r="K323" s="35"/>
    </row>
    <row r="324" spans="1:11" ht="24" customHeight="1">
      <c r="A324" s="33" t="s">
        <v>111</v>
      </c>
      <c r="B324" s="34" t="s">
        <v>293</v>
      </c>
      <c r="C324" s="34" t="s">
        <v>294</v>
      </c>
      <c r="D324" s="34" t="s">
        <v>295</v>
      </c>
      <c r="E324" s="34" t="s">
        <v>296</v>
      </c>
      <c r="F324" s="34" t="s">
        <v>297</v>
      </c>
      <c r="G324" s="34"/>
      <c r="H324" s="34" t="s">
        <v>151</v>
      </c>
      <c r="I324" s="34">
        <v>12.026</v>
      </c>
      <c r="J324" s="35" t="s">
        <v>298</v>
      </c>
      <c r="K324" s="35" t="s">
        <v>299</v>
      </c>
    </row>
    <row r="325" spans="1:11" ht="24" customHeight="1">
      <c r="A325" s="33" t="s">
        <v>111</v>
      </c>
      <c r="B325" s="34" t="s">
        <v>300</v>
      </c>
      <c r="C325" s="34" t="s">
        <v>301</v>
      </c>
      <c r="D325" s="34" t="s">
        <v>302</v>
      </c>
      <c r="E325" s="34"/>
      <c r="F325" s="34" t="s">
        <v>194</v>
      </c>
      <c r="G325" s="34"/>
      <c r="H325" s="34" t="s">
        <v>151</v>
      </c>
      <c r="I325" s="34" t="s">
        <v>303</v>
      </c>
      <c r="J325" s="35" t="s">
        <v>196</v>
      </c>
      <c r="K325" s="35"/>
    </row>
    <row r="326" spans="1:11" ht="34.5">
      <c r="A326" s="33" t="s">
        <v>111</v>
      </c>
      <c r="B326" s="34" t="s">
        <v>304</v>
      </c>
      <c r="C326" s="34" t="s">
        <v>305</v>
      </c>
      <c r="D326" s="34" t="s">
        <v>306</v>
      </c>
      <c r="E326" s="34" t="s">
        <v>307</v>
      </c>
      <c r="F326" s="34" t="s">
        <v>223</v>
      </c>
      <c r="G326" s="34"/>
      <c r="H326" s="34" t="s">
        <v>151</v>
      </c>
      <c r="I326" s="34" t="s">
        <v>308</v>
      </c>
      <c r="J326" s="35" t="s">
        <v>225</v>
      </c>
      <c r="K326" s="35" t="s">
        <v>309</v>
      </c>
    </row>
    <row r="327" spans="1:11" ht="24" customHeight="1">
      <c r="A327" s="33" t="s">
        <v>111</v>
      </c>
      <c r="B327" s="34" t="s">
        <v>310</v>
      </c>
      <c r="C327" s="34" t="s">
        <v>311</v>
      </c>
      <c r="D327" s="34" t="s">
        <v>312</v>
      </c>
      <c r="E327" s="34"/>
      <c r="F327" s="34" t="s">
        <v>313</v>
      </c>
      <c r="G327" s="34"/>
      <c r="H327" s="34" t="s">
        <v>151</v>
      </c>
      <c r="I327" s="34" t="s">
        <v>314</v>
      </c>
      <c r="J327" s="35" t="s">
        <v>315</v>
      </c>
      <c r="K327" s="35"/>
    </row>
    <row r="328" spans="1:11" ht="23.1">
      <c r="A328" s="33" t="s">
        <v>111</v>
      </c>
      <c r="B328" s="34" t="s">
        <v>674</v>
      </c>
      <c r="C328" s="34" t="s">
        <v>675</v>
      </c>
      <c r="D328" s="34" t="s">
        <v>676</v>
      </c>
      <c r="E328" s="34" t="s">
        <v>677</v>
      </c>
      <c r="F328" s="34" t="s">
        <v>259</v>
      </c>
      <c r="G328" s="34"/>
      <c r="H328" s="34" t="s">
        <v>151</v>
      </c>
      <c r="I328" s="34" t="s">
        <v>848</v>
      </c>
      <c r="J328" s="35" t="s">
        <v>261</v>
      </c>
      <c r="K328" s="35" t="s">
        <v>678</v>
      </c>
    </row>
    <row r="329" spans="1:11" ht="24" customHeight="1">
      <c r="A329" s="33" t="s">
        <v>111</v>
      </c>
      <c r="B329" s="34" t="s">
        <v>679</v>
      </c>
      <c r="C329" s="34" t="s">
        <v>680</v>
      </c>
      <c r="D329" s="34" t="s">
        <v>681</v>
      </c>
      <c r="E329" s="34"/>
      <c r="F329" s="34" t="s">
        <v>157</v>
      </c>
      <c r="G329" s="34"/>
      <c r="H329" s="34" t="s">
        <v>151</v>
      </c>
      <c r="I329" s="34" t="s">
        <v>849</v>
      </c>
      <c r="J329" s="35" t="s">
        <v>159</v>
      </c>
      <c r="K329" s="35"/>
    </row>
    <row r="330" spans="1:11" ht="24" customHeight="1">
      <c r="A330" s="33" t="s">
        <v>111</v>
      </c>
      <c r="B330" s="34" t="s">
        <v>316</v>
      </c>
      <c r="C330" s="34" t="s">
        <v>317</v>
      </c>
      <c r="D330" s="34" t="s">
        <v>318</v>
      </c>
      <c r="E330" s="34" t="s">
        <v>319</v>
      </c>
      <c r="F330" s="34" t="s">
        <v>150</v>
      </c>
      <c r="G330" s="34"/>
      <c r="H330" s="34" t="s">
        <v>151</v>
      </c>
      <c r="I330" s="34">
        <v>1</v>
      </c>
      <c r="J330" s="35" t="s">
        <v>320</v>
      </c>
      <c r="K330" s="35" t="s">
        <v>321</v>
      </c>
    </row>
    <row r="331" spans="1:11" ht="24" customHeight="1">
      <c r="A331" s="33" t="s">
        <v>111</v>
      </c>
      <c r="B331" s="34" t="s">
        <v>322</v>
      </c>
      <c r="C331" s="34" t="s">
        <v>323</v>
      </c>
      <c r="D331" s="34" t="s">
        <v>324</v>
      </c>
      <c r="E331" s="34"/>
      <c r="F331" s="34" t="s">
        <v>157</v>
      </c>
      <c r="G331" s="34"/>
      <c r="H331" s="34" t="s">
        <v>151</v>
      </c>
      <c r="I331" s="34" t="s">
        <v>325</v>
      </c>
      <c r="J331" s="35" t="s">
        <v>159</v>
      </c>
      <c r="K331" s="35"/>
    </row>
    <row r="332" spans="1:11" ht="24" customHeight="1">
      <c r="A332" s="33" t="s">
        <v>111</v>
      </c>
      <c r="B332" s="34" t="s">
        <v>326</v>
      </c>
      <c r="C332" s="34" t="s">
        <v>327</v>
      </c>
      <c r="D332" s="34" t="s">
        <v>328</v>
      </c>
      <c r="E332" s="34" t="s">
        <v>329</v>
      </c>
      <c r="F332" s="34" t="s">
        <v>290</v>
      </c>
      <c r="G332" s="34"/>
      <c r="H332" s="34" t="s">
        <v>151</v>
      </c>
      <c r="I332" s="34" t="s">
        <v>330</v>
      </c>
      <c r="J332" s="35" t="s">
        <v>292</v>
      </c>
      <c r="K332" s="35" t="s">
        <v>331</v>
      </c>
    </row>
    <row r="333" spans="1:11" ht="24" customHeight="1">
      <c r="A333" s="33" t="s">
        <v>111</v>
      </c>
      <c r="B333" s="34" t="s">
        <v>332</v>
      </c>
      <c r="C333" s="34" t="s">
        <v>333</v>
      </c>
      <c r="D333" s="34" t="s">
        <v>334</v>
      </c>
      <c r="E333" s="34"/>
      <c r="F333" s="34" t="s">
        <v>335</v>
      </c>
      <c r="G333" s="34"/>
      <c r="H333" s="34" t="s">
        <v>151</v>
      </c>
      <c r="I333" s="34" t="s">
        <v>336</v>
      </c>
      <c r="J333" s="35" t="s">
        <v>337</v>
      </c>
      <c r="K333" s="35"/>
    </row>
    <row r="334" spans="1:11" ht="24" customHeight="1">
      <c r="A334" s="33" t="s">
        <v>111</v>
      </c>
      <c r="B334" s="34" t="s">
        <v>338</v>
      </c>
      <c r="C334" s="34" t="s">
        <v>339</v>
      </c>
      <c r="D334" s="34" t="s">
        <v>340</v>
      </c>
      <c r="E334" s="34" t="s">
        <v>341</v>
      </c>
      <c r="F334" s="34" t="s">
        <v>290</v>
      </c>
      <c r="G334" s="34"/>
      <c r="H334" s="34" t="s">
        <v>151</v>
      </c>
      <c r="I334" s="34">
        <v>3530369</v>
      </c>
      <c r="J334" s="35" t="s">
        <v>292</v>
      </c>
      <c r="K334" s="35" t="s">
        <v>342</v>
      </c>
    </row>
    <row r="335" spans="1:11" ht="24" customHeight="1">
      <c r="A335" s="33" t="s">
        <v>111</v>
      </c>
      <c r="B335" s="34" t="s">
        <v>343</v>
      </c>
      <c r="C335" s="34" t="s">
        <v>344</v>
      </c>
      <c r="D335" s="34" t="s">
        <v>345</v>
      </c>
      <c r="E335" s="34"/>
      <c r="F335" s="34" t="s">
        <v>335</v>
      </c>
      <c r="G335" s="34"/>
      <c r="H335" s="34" t="s">
        <v>151</v>
      </c>
      <c r="I335" s="34" t="s">
        <v>850</v>
      </c>
      <c r="J335" s="35" t="s">
        <v>337</v>
      </c>
      <c r="K335" s="35"/>
    </row>
    <row r="336" spans="1:11" ht="24" customHeight="1">
      <c r="A336" s="33" t="s">
        <v>111</v>
      </c>
      <c r="B336" s="34" t="s">
        <v>346</v>
      </c>
      <c r="C336" s="34" t="s">
        <v>347</v>
      </c>
      <c r="D336" s="34" t="s">
        <v>348</v>
      </c>
      <c r="E336" s="34" t="s">
        <v>349</v>
      </c>
      <c r="F336" s="34" t="s">
        <v>187</v>
      </c>
      <c r="G336" s="34"/>
      <c r="H336" s="34" t="s">
        <v>151</v>
      </c>
      <c r="I336" s="34">
        <v>71</v>
      </c>
      <c r="J336" s="35" t="s">
        <v>189</v>
      </c>
      <c r="K336" s="35" t="s">
        <v>350</v>
      </c>
    </row>
    <row r="337" spans="1:11" ht="24" customHeight="1">
      <c r="A337" s="33" t="s">
        <v>111</v>
      </c>
      <c r="B337" s="34" t="s">
        <v>351</v>
      </c>
      <c r="C337" s="34" t="s">
        <v>352</v>
      </c>
      <c r="D337" s="34" t="s">
        <v>353</v>
      </c>
      <c r="E337" s="34"/>
      <c r="F337" s="34" t="s">
        <v>290</v>
      </c>
      <c r="G337" s="34"/>
      <c r="H337" s="34" t="s">
        <v>151</v>
      </c>
      <c r="I337" s="34" t="s">
        <v>291</v>
      </c>
      <c r="J337" s="35" t="s">
        <v>292</v>
      </c>
      <c r="K337" s="35"/>
    </row>
    <row r="338" spans="1:11" ht="34.5">
      <c r="A338" s="33" t="s">
        <v>111</v>
      </c>
      <c r="B338" s="34" t="s">
        <v>354</v>
      </c>
      <c r="C338" s="34" t="s">
        <v>355</v>
      </c>
      <c r="D338" s="34" t="s">
        <v>356</v>
      </c>
      <c r="E338" s="34" t="s">
        <v>357</v>
      </c>
      <c r="F338" s="34" t="s">
        <v>223</v>
      </c>
      <c r="G338" s="34"/>
      <c r="H338" s="34" t="s">
        <v>151</v>
      </c>
      <c r="I338" s="34" t="s">
        <v>358</v>
      </c>
      <c r="J338" s="35" t="s">
        <v>225</v>
      </c>
      <c r="K338" s="35" t="s">
        <v>359</v>
      </c>
    </row>
    <row r="339" spans="1:11" ht="24" customHeight="1">
      <c r="A339" s="33" t="s">
        <v>111</v>
      </c>
      <c r="B339" s="34" t="s">
        <v>360</v>
      </c>
      <c r="C339" s="34" t="s">
        <v>361</v>
      </c>
      <c r="D339" s="34" t="s">
        <v>362</v>
      </c>
      <c r="E339" s="34"/>
      <c r="F339" s="34" t="s">
        <v>157</v>
      </c>
      <c r="G339" s="34"/>
      <c r="H339" s="34" t="s">
        <v>151</v>
      </c>
      <c r="I339" s="34" t="s">
        <v>217</v>
      </c>
      <c r="J339" s="35" t="s">
        <v>159</v>
      </c>
      <c r="K339" s="35"/>
    </row>
    <row r="340" spans="1:11" ht="34.5">
      <c r="A340" s="33" t="s">
        <v>111</v>
      </c>
      <c r="B340" s="34" t="s">
        <v>363</v>
      </c>
      <c r="C340" s="34" t="s">
        <v>364</v>
      </c>
      <c r="D340" s="34" t="s">
        <v>365</v>
      </c>
      <c r="E340" s="34" t="s">
        <v>366</v>
      </c>
      <c r="F340" s="34" t="s">
        <v>223</v>
      </c>
      <c r="G340" s="34"/>
      <c r="H340" s="34" t="s">
        <v>151</v>
      </c>
      <c r="I340" s="34">
        <v>714</v>
      </c>
      <c r="J340" s="35" t="s">
        <v>225</v>
      </c>
      <c r="K340" s="35" t="s">
        <v>367</v>
      </c>
    </row>
    <row r="341" spans="1:11" ht="24" customHeight="1">
      <c r="A341" s="33" t="s">
        <v>111</v>
      </c>
      <c r="B341" s="34" t="s">
        <v>368</v>
      </c>
      <c r="C341" s="34" t="s">
        <v>369</v>
      </c>
      <c r="D341" s="34" t="s">
        <v>370</v>
      </c>
      <c r="E341" s="34"/>
      <c r="F341" s="34" t="s">
        <v>157</v>
      </c>
      <c r="G341" s="34"/>
      <c r="H341" s="34" t="s">
        <v>151</v>
      </c>
      <c r="I341" s="34" t="s">
        <v>230</v>
      </c>
      <c r="J341" s="35" t="s">
        <v>159</v>
      </c>
      <c r="K341" s="35"/>
    </row>
    <row r="342" spans="1:11" ht="34.5">
      <c r="A342" s="33" t="s">
        <v>111</v>
      </c>
      <c r="B342" s="34" t="s">
        <v>371</v>
      </c>
      <c r="C342" s="34" t="s">
        <v>372</v>
      </c>
      <c r="D342" s="34" t="s">
        <v>373</v>
      </c>
      <c r="E342" s="34" t="s">
        <v>374</v>
      </c>
      <c r="F342" s="34" t="s">
        <v>223</v>
      </c>
      <c r="G342" s="34"/>
      <c r="H342" s="34" t="s">
        <v>151</v>
      </c>
      <c r="I342" s="34">
        <v>201</v>
      </c>
      <c r="J342" s="35" t="s">
        <v>225</v>
      </c>
      <c r="K342" s="35" t="s">
        <v>375</v>
      </c>
    </row>
    <row r="343" spans="1:11" ht="24" customHeight="1">
      <c r="A343" s="33" t="s">
        <v>111</v>
      </c>
      <c r="B343" s="34" t="s">
        <v>376</v>
      </c>
      <c r="C343" s="34" t="s">
        <v>377</v>
      </c>
      <c r="D343" s="34" t="s">
        <v>378</v>
      </c>
      <c r="E343" s="34"/>
      <c r="F343" s="34" t="s">
        <v>157</v>
      </c>
      <c r="G343" s="34"/>
      <c r="H343" s="34" t="s">
        <v>151</v>
      </c>
      <c r="I343" s="34" t="s">
        <v>379</v>
      </c>
      <c r="J343" s="35" t="s">
        <v>159</v>
      </c>
      <c r="K343" s="35"/>
    </row>
    <row r="344" spans="1:11" ht="24" customHeight="1">
      <c r="A344" s="33" t="s">
        <v>111</v>
      </c>
      <c r="B344" s="34" t="s">
        <v>380</v>
      </c>
      <c r="C344" s="34" t="s">
        <v>381</v>
      </c>
      <c r="D344" s="34" t="s">
        <v>382</v>
      </c>
      <c r="E344" s="34" t="s">
        <v>383</v>
      </c>
      <c r="F344" s="34" t="s">
        <v>259</v>
      </c>
      <c r="G344" s="34"/>
      <c r="H344" s="34" t="s">
        <v>151</v>
      </c>
      <c r="I344" s="34" t="s">
        <v>384</v>
      </c>
      <c r="J344" s="35" t="s">
        <v>261</v>
      </c>
      <c r="K344" s="35" t="s">
        <v>385</v>
      </c>
    </row>
    <row r="345" spans="1:11" ht="24" customHeight="1">
      <c r="A345" s="33" t="s">
        <v>111</v>
      </c>
      <c r="B345" s="34" t="s">
        <v>386</v>
      </c>
      <c r="C345" s="34" t="s">
        <v>387</v>
      </c>
      <c r="D345" s="34" t="s">
        <v>388</v>
      </c>
      <c r="E345" s="34"/>
      <c r="F345" s="34" t="s">
        <v>157</v>
      </c>
      <c r="G345" s="34"/>
      <c r="H345" s="34" t="s">
        <v>151</v>
      </c>
      <c r="I345" s="34" t="s">
        <v>242</v>
      </c>
      <c r="J345" s="35" t="s">
        <v>159</v>
      </c>
      <c r="K345" s="35"/>
    </row>
    <row r="346" spans="1:11" ht="45.95">
      <c r="A346" s="33" t="s">
        <v>111</v>
      </c>
      <c r="B346" s="34" t="s">
        <v>389</v>
      </c>
      <c r="C346" s="34" t="s">
        <v>390</v>
      </c>
      <c r="D346" s="34" t="s">
        <v>391</v>
      </c>
      <c r="E346" s="34" t="s">
        <v>392</v>
      </c>
      <c r="F346" s="34" t="s">
        <v>290</v>
      </c>
      <c r="G346" s="34"/>
      <c r="H346" s="34" t="s">
        <v>151</v>
      </c>
      <c r="I346" s="34">
        <v>730525</v>
      </c>
      <c r="J346" s="35" t="s">
        <v>292</v>
      </c>
      <c r="K346" s="35" t="s">
        <v>393</v>
      </c>
    </row>
    <row r="347" spans="1:11" ht="24" customHeight="1">
      <c r="A347" s="33" t="s">
        <v>111</v>
      </c>
      <c r="B347" s="34" t="s">
        <v>394</v>
      </c>
      <c r="C347" s="34" t="s">
        <v>395</v>
      </c>
      <c r="D347" s="34" t="s">
        <v>396</v>
      </c>
      <c r="E347" s="34"/>
      <c r="F347" s="34" t="s">
        <v>397</v>
      </c>
      <c r="G347" s="34"/>
      <c r="H347" s="34" t="s">
        <v>151</v>
      </c>
      <c r="I347" s="34" t="s">
        <v>398</v>
      </c>
      <c r="J347" s="35" t="s">
        <v>399</v>
      </c>
      <c r="K347" s="35"/>
    </row>
    <row r="348" spans="1:11" ht="24" customHeight="1">
      <c r="A348" s="33" t="s">
        <v>111</v>
      </c>
      <c r="B348" s="34" t="s">
        <v>407</v>
      </c>
      <c r="C348" s="34" t="s">
        <v>408</v>
      </c>
      <c r="D348" s="34" t="s">
        <v>409</v>
      </c>
      <c r="E348" s="34" t="s">
        <v>410</v>
      </c>
      <c r="F348" s="34" t="s">
        <v>235</v>
      </c>
      <c r="G348" s="34"/>
      <c r="H348" s="34" t="s">
        <v>151</v>
      </c>
      <c r="I348" s="34">
        <v>70630</v>
      </c>
      <c r="J348" s="35" t="s">
        <v>237</v>
      </c>
      <c r="K348" s="35" t="s">
        <v>411</v>
      </c>
    </row>
    <row r="349" spans="1:11" ht="24" customHeight="1">
      <c r="A349" s="33" t="s">
        <v>111</v>
      </c>
      <c r="B349" s="34" t="s">
        <v>412</v>
      </c>
      <c r="C349" s="34" t="s">
        <v>413</v>
      </c>
      <c r="D349" s="34" t="s">
        <v>414</v>
      </c>
      <c r="E349" s="34"/>
      <c r="F349" s="34" t="s">
        <v>157</v>
      </c>
      <c r="G349" s="34"/>
      <c r="H349" s="34" t="s">
        <v>151</v>
      </c>
      <c r="I349" s="34" t="s">
        <v>415</v>
      </c>
      <c r="J349" s="35" t="s">
        <v>159</v>
      </c>
      <c r="K349" s="35"/>
    </row>
    <row r="350" spans="1:11" ht="45.95">
      <c r="A350" s="33" t="s">
        <v>111</v>
      </c>
      <c r="B350" s="34" t="s">
        <v>416</v>
      </c>
      <c r="C350" s="34" t="s">
        <v>417</v>
      </c>
      <c r="D350" s="34" t="s">
        <v>416</v>
      </c>
      <c r="E350" s="34" t="s">
        <v>418</v>
      </c>
      <c r="F350" s="34" t="s">
        <v>259</v>
      </c>
      <c r="G350" s="34"/>
      <c r="H350" s="34" t="s">
        <v>151</v>
      </c>
      <c r="I350" s="34" t="s">
        <v>419</v>
      </c>
      <c r="J350" s="35" t="s">
        <v>261</v>
      </c>
      <c r="K350" s="35" t="s">
        <v>420</v>
      </c>
    </row>
    <row r="351" spans="1:11" ht="24" customHeight="1">
      <c r="A351" s="33" t="s">
        <v>111</v>
      </c>
      <c r="B351" s="34" t="s">
        <v>421</v>
      </c>
      <c r="C351" s="34" t="s">
        <v>422</v>
      </c>
      <c r="D351" s="34" t="s">
        <v>423</v>
      </c>
      <c r="E351" s="34"/>
      <c r="F351" s="34" t="s">
        <v>157</v>
      </c>
      <c r="G351" s="34"/>
      <c r="H351" s="34" t="s">
        <v>151</v>
      </c>
      <c r="I351" s="34" t="s">
        <v>424</v>
      </c>
      <c r="J351" s="35" t="s">
        <v>159</v>
      </c>
      <c r="K351" s="35"/>
    </row>
    <row r="352" spans="1:11" ht="34.5">
      <c r="A352" s="33" t="s">
        <v>111</v>
      </c>
      <c r="B352" s="34" t="s">
        <v>430</v>
      </c>
      <c r="C352" s="34" t="s">
        <v>431</v>
      </c>
      <c r="D352" s="34" t="s">
        <v>432</v>
      </c>
      <c r="E352" s="34" t="s">
        <v>433</v>
      </c>
      <c r="F352" s="34" t="s">
        <v>187</v>
      </c>
      <c r="G352" s="34"/>
      <c r="H352" s="34" t="s">
        <v>151</v>
      </c>
      <c r="I352" s="34">
        <v>70</v>
      </c>
      <c r="J352" s="35" t="s">
        <v>189</v>
      </c>
      <c r="K352" s="35" t="s">
        <v>434</v>
      </c>
    </row>
    <row r="353" spans="1:11" ht="24" customHeight="1">
      <c r="A353" s="33" t="s">
        <v>111</v>
      </c>
      <c r="B353" s="34" t="s">
        <v>435</v>
      </c>
      <c r="C353" s="34" t="s">
        <v>436</v>
      </c>
      <c r="D353" s="34" t="s">
        <v>437</v>
      </c>
      <c r="E353" s="34"/>
      <c r="F353" s="34" t="s">
        <v>205</v>
      </c>
      <c r="G353" s="34"/>
      <c r="H353" s="34" t="s">
        <v>151</v>
      </c>
      <c r="I353" s="34" t="s">
        <v>158</v>
      </c>
      <c r="J353" s="35" t="s">
        <v>206</v>
      </c>
      <c r="K353" s="35"/>
    </row>
    <row r="354" spans="1:11" ht="23.1">
      <c r="A354" s="33" t="s">
        <v>111</v>
      </c>
      <c r="B354" s="34" t="s">
        <v>438</v>
      </c>
      <c r="C354" s="34" t="s">
        <v>439</v>
      </c>
      <c r="D354" s="34" t="s">
        <v>440</v>
      </c>
      <c r="E354" s="34" t="s">
        <v>441</v>
      </c>
      <c r="F354" s="34" t="s">
        <v>187</v>
      </c>
      <c r="G354" s="34"/>
      <c r="H354" s="34" t="s">
        <v>151</v>
      </c>
      <c r="I354" s="34">
        <v>4</v>
      </c>
      <c r="J354" s="35" t="s">
        <v>189</v>
      </c>
      <c r="K354" s="35" t="s">
        <v>442</v>
      </c>
    </row>
    <row r="355" spans="1:11" ht="24" customHeight="1">
      <c r="A355" s="33" t="s">
        <v>111</v>
      </c>
      <c r="B355" s="34" t="s">
        <v>443</v>
      </c>
      <c r="C355" s="34" t="s">
        <v>444</v>
      </c>
      <c r="D355" s="34" t="s">
        <v>445</v>
      </c>
      <c r="E355" s="34"/>
      <c r="F355" s="34" t="s">
        <v>157</v>
      </c>
      <c r="G355" s="34"/>
      <c r="H355" s="34" t="s">
        <v>151</v>
      </c>
      <c r="I355" s="34" t="s">
        <v>446</v>
      </c>
      <c r="J355" s="35" t="s">
        <v>159</v>
      </c>
      <c r="K355" s="35"/>
    </row>
    <row r="356" spans="1:11" ht="23.1">
      <c r="A356" s="33" t="s">
        <v>111</v>
      </c>
      <c r="B356" s="34" t="s">
        <v>447</v>
      </c>
      <c r="C356" s="34" t="s">
        <v>448</v>
      </c>
      <c r="D356" s="34" t="s">
        <v>449</v>
      </c>
      <c r="E356" s="34" t="s">
        <v>450</v>
      </c>
      <c r="F356" s="34" t="s">
        <v>223</v>
      </c>
      <c r="G356" s="34"/>
      <c r="H356" s="34" t="s">
        <v>151</v>
      </c>
      <c r="I356" s="34" t="s">
        <v>451</v>
      </c>
      <c r="J356" s="35" t="s">
        <v>225</v>
      </c>
      <c r="K356" s="35" t="s">
        <v>452</v>
      </c>
    </row>
    <row r="357" spans="1:11" ht="24" customHeight="1">
      <c r="A357" s="33" t="s">
        <v>111</v>
      </c>
      <c r="B357" s="34" t="s">
        <v>453</v>
      </c>
      <c r="C357" s="34" t="s">
        <v>454</v>
      </c>
      <c r="D357" s="34" t="s">
        <v>455</v>
      </c>
      <c r="E357" s="34"/>
      <c r="F357" s="34" t="s">
        <v>157</v>
      </c>
      <c r="G357" s="34"/>
      <c r="H357" s="34" t="s">
        <v>151</v>
      </c>
      <c r="I357" s="34" t="s">
        <v>456</v>
      </c>
      <c r="J357" s="35" t="s">
        <v>159</v>
      </c>
      <c r="K357" s="35"/>
    </row>
    <row r="358" spans="1:11" ht="23.1">
      <c r="A358" s="33" t="s">
        <v>111</v>
      </c>
      <c r="B358" s="34" t="s">
        <v>457</v>
      </c>
      <c r="C358" s="34" t="s">
        <v>458</v>
      </c>
      <c r="D358" s="34" t="s">
        <v>459</v>
      </c>
      <c r="E358" s="34" t="s">
        <v>460</v>
      </c>
      <c r="F358" s="34" t="s">
        <v>223</v>
      </c>
      <c r="G358" s="34"/>
      <c r="H358" s="34" t="s">
        <v>151</v>
      </c>
      <c r="I358" s="34" t="s">
        <v>461</v>
      </c>
      <c r="J358" s="35" t="s">
        <v>225</v>
      </c>
      <c r="K358" s="35" t="s">
        <v>462</v>
      </c>
    </row>
    <row r="359" spans="1:11" ht="24" customHeight="1">
      <c r="A359" s="33" t="s">
        <v>111</v>
      </c>
      <c r="B359" s="34" t="s">
        <v>463</v>
      </c>
      <c r="C359" s="34" t="s">
        <v>464</v>
      </c>
      <c r="D359" s="34" t="s">
        <v>465</v>
      </c>
      <c r="E359" s="34"/>
      <c r="F359" s="34" t="s">
        <v>157</v>
      </c>
      <c r="G359" s="34"/>
      <c r="H359" s="34" t="s">
        <v>151</v>
      </c>
      <c r="I359" s="34" t="s">
        <v>466</v>
      </c>
      <c r="J359" s="35" t="s">
        <v>159</v>
      </c>
      <c r="K359" s="35"/>
    </row>
    <row r="360" spans="1:11" ht="23.1">
      <c r="A360" s="33" t="s">
        <v>111</v>
      </c>
      <c r="B360" s="34" t="s">
        <v>467</v>
      </c>
      <c r="C360" s="34" t="s">
        <v>468</v>
      </c>
      <c r="D360" s="34" t="s">
        <v>469</v>
      </c>
      <c r="E360" s="34" t="s">
        <v>470</v>
      </c>
      <c r="F360" s="34" t="s">
        <v>175</v>
      </c>
      <c r="G360" s="34"/>
      <c r="H360" s="34" t="s">
        <v>151</v>
      </c>
      <c r="I360" s="34" t="s">
        <v>23</v>
      </c>
      <c r="J360" s="35" t="s">
        <v>177</v>
      </c>
      <c r="K360" s="35" t="s">
        <v>471</v>
      </c>
    </row>
    <row r="361" spans="1:11" ht="24" customHeight="1">
      <c r="A361" s="33" t="s">
        <v>111</v>
      </c>
      <c r="B361" s="34" t="s">
        <v>472</v>
      </c>
      <c r="C361" s="34" t="s">
        <v>473</v>
      </c>
      <c r="D361" s="34" t="s">
        <v>474</v>
      </c>
      <c r="E361" s="34"/>
      <c r="F361" s="34" t="s">
        <v>157</v>
      </c>
      <c r="G361" s="34"/>
      <c r="H361" s="34" t="s">
        <v>151</v>
      </c>
      <c r="I361" s="34" t="s">
        <v>475</v>
      </c>
      <c r="J361" s="35" t="s">
        <v>159</v>
      </c>
      <c r="K361" s="35"/>
    </row>
    <row r="362" spans="1:11" ht="34.5">
      <c r="A362" s="33" t="s">
        <v>111</v>
      </c>
      <c r="B362" s="34" t="s">
        <v>476</v>
      </c>
      <c r="C362" s="34" t="s">
        <v>477</v>
      </c>
      <c r="D362" s="34" t="s">
        <v>478</v>
      </c>
      <c r="E362" s="34" t="s">
        <v>479</v>
      </c>
      <c r="F362" s="34" t="s">
        <v>175</v>
      </c>
      <c r="G362" s="34"/>
      <c r="H362" s="34" t="s">
        <v>151</v>
      </c>
      <c r="I362" s="34" t="s">
        <v>23</v>
      </c>
      <c r="J362" s="35" t="s">
        <v>177</v>
      </c>
      <c r="K362" s="35" t="s">
        <v>480</v>
      </c>
    </row>
    <row r="363" spans="1:11" ht="24" customHeight="1">
      <c r="A363" s="33" t="s">
        <v>111</v>
      </c>
      <c r="B363" s="34" t="s">
        <v>481</v>
      </c>
      <c r="C363" s="34" t="s">
        <v>482</v>
      </c>
      <c r="D363" s="34" t="s">
        <v>483</v>
      </c>
      <c r="E363" s="34"/>
      <c r="F363" s="34" t="s">
        <v>157</v>
      </c>
      <c r="G363" s="34"/>
      <c r="H363" s="34" t="s">
        <v>151</v>
      </c>
      <c r="I363" s="34" t="s">
        <v>475</v>
      </c>
      <c r="J363" s="35" t="s">
        <v>159</v>
      </c>
      <c r="K363" s="35"/>
    </row>
    <row r="364" spans="1:11" ht="24" customHeight="1">
      <c r="A364" s="33" t="s">
        <v>111</v>
      </c>
      <c r="B364" s="34" t="s">
        <v>484</v>
      </c>
      <c r="C364" s="34" t="s">
        <v>485</v>
      </c>
      <c r="D364" s="34" t="s">
        <v>486</v>
      </c>
      <c r="E364" s="34" t="s">
        <v>487</v>
      </c>
      <c r="F364" s="34" t="s">
        <v>488</v>
      </c>
      <c r="G364" s="34"/>
      <c r="H364" s="34" t="s">
        <v>151</v>
      </c>
      <c r="I364" s="34" t="s">
        <v>489</v>
      </c>
      <c r="J364" s="35" t="s">
        <v>490</v>
      </c>
      <c r="K364" s="35" t="s">
        <v>491</v>
      </c>
    </row>
    <row r="365" spans="1:11" ht="24" customHeight="1">
      <c r="A365" s="33" t="s">
        <v>111</v>
      </c>
      <c r="B365" s="34" t="s">
        <v>492</v>
      </c>
      <c r="C365" s="34" t="s">
        <v>493</v>
      </c>
      <c r="D365" s="34" t="s">
        <v>494</v>
      </c>
      <c r="E365" s="34"/>
      <c r="F365" s="34" t="s">
        <v>397</v>
      </c>
      <c r="G365" s="34"/>
      <c r="H365" s="34" t="s">
        <v>151</v>
      </c>
      <c r="I365" s="34" t="s">
        <v>495</v>
      </c>
      <c r="J365" s="35" t="s">
        <v>399</v>
      </c>
      <c r="K365" s="35"/>
    </row>
    <row r="366" spans="1:11" ht="34.5">
      <c r="A366" s="33" t="s">
        <v>111</v>
      </c>
      <c r="B366" s="34" t="s">
        <v>496</v>
      </c>
      <c r="C366" s="34" t="s">
        <v>497</v>
      </c>
      <c r="D366" s="34" t="s">
        <v>498</v>
      </c>
      <c r="E366" s="34" t="s">
        <v>499</v>
      </c>
      <c r="F366" s="34" t="s">
        <v>187</v>
      </c>
      <c r="G366" s="34"/>
      <c r="H366" s="34" t="s">
        <v>151</v>
      </c>
      <c r="I366" s="34" t="s">
        <v>500</v>
      </c>
      <c r="J366" s="35" t="s">
        <v>189</v>
      </c>
      <c r="K366" s="35" t="s">
        <v>501</v>
      </c>
    </row>
    <row r="367" spans="1:11" ht="24" customHeight="1">
      <c r="A367" s="33" t="s">
        <v>111</v>
      </c>
      <c r="B367" s="34" t="s">
        <v>502</v>
      </c>
      <c r="C367" s="34" t="s">
        <v>503</v>
      </c>
      <c r="D367" s="34" t="s">
        <v>504</v>
      </c>
      <c r="E367" s="34"/>
      <c r="F367" s="34" t="s">
        <v>505</v>
      </c>
      <c r="G367" s="34"/>
      <c r="H367" s="34" t="s">
        <v>151</v>
      </c>
      <c r="I367" s="34" t="s">
        <v>506</v>
      </c>
      <c r="J367" s="35" t="s">
        <v>507</v>
      </c>
      <c r="K367" s="35"/>
    </row>
    <row r="368" spans="1:11" ht="34.5">
      <c r="A368" s="33" t="s">
        <v>111</v>
      </c>
      <c r="B368" s="34" t="s">
        <v>508</v>
      </c>
      <c r="C368" s="34" t="s">
        <v>509</v>
      </c>
      <c r="D368" s="34" t="s">
        <v>510</v>
      </c>
      <c r="E368" s="34" t="s">
        <v>511</v>
      </c>
      <c r="F368" s="34" t="s">
        <v>187</v>
      </c>
      <c r="G368" s="34"/>
      <c r="H368" s="34" t="s">
        <v>151</v>
      </c>
      <c r="I368" s="34" t="s">
        <v>500</v>
      </c>
      <c r="J368" s="35" t="s">
        <v>189</v>
      </c>
      <c r="K368" s="35" t="s">
        <v>512</v>
      </c>
    </row>
    <row r="369" spans="1:11" ht="24" customHeight="1">
      <c r="A369" s="33" t="s">
        <v>111</v>
      </c>
      <c r="B369" s="34" t="s">
        <v>513</v>
      </c>
      <c r="C369" s="34" t="s">
        <v>514</v>
      </c>
      <c r="D369" s="34" t="s">
        <v>515</v>
      </c>
      <c r="E369" s="34"/>
      <c r="F369" s="34" t="s">
        <v>505</v>
      </c>
      <c r="G369" s="34"/>
      <c r="H369" s="34" t="s">
        <v>151</v>
      </c>
      <c r="I369" s="34" t="s">
        <v>506</v>
      </c>
      <c r="J369" s="35" t="s">
        <v>507</v>
      </c>
      <c r="K369" s="35"/>
    </row>
    <row r="370" spans="1:11" ht="57.6">
      <c r="A370" s="33" t="s">
        <v>111</v>
      </c>
      <c r="B370" s="34" t="s">
        <v>516</v>
      </c>
      <c r="C370" s="34" t="s">
        <v>517</v>
      </c>
      <c r="D370" s="34" t="s">
        <v>518</v>
      </c>
      <c r="E370" s="34" t="s">
        <v>519</v>
      </c>
      <c r="F370" s="34" t="s">
        <v>273</v>
      </c>
      <c r="G370" s="34"/>
      <c r="H370" s="34" t="s">
        <v>151</v>
      </c>
      <c r="I370" s="34" t="s">
        <v>851</v>
      </c>
      <c r="J370" s="35" t="s">
        <v>275</v>
      </c>
      <c r="K370" s="35" t="s">
        <v>521</v>
      </c>
    </row>
    <row r="371" spans="1:11" ht="24" customHeight="1">
      <c r="A371" s="33" t="s">
        <v>111</v>
      </c>
      <c r="B371" s="34" t="s">
        <v>522</v>
      </c>
      <c r="C371" s="34" t="s">
        <v>523</v>
      </c>
      <c r="D371" s="34" t="s">
        <v>524</v>
      </c>
      <c r="E371" s="34"/>
      <c r="F371" s="34" t="s">
        <v>157</v>
      </c>
      <c r="G371" s="34"/>
      <c r="H371" s="34" t="s">
        <v>151</v>
      </c>
      <c r="I371" s="34" t="s">
        <v>525</v>
      </c>
      <c r="J371" s="35" t="s">
        <v>159</v>
      </c>
      <c r="K371" s="35"/>
    </row>
    <row r="372" spans="1:11" ht="92.1">
      <c r="A372" s="33" t="s">
        <v>111</v>
      </c>
      <c r="B372" s="34" t="s">
        <v>538</v>
      </c>
      <c r="C372" s="34" t="s">
        <v>538</v>
      </c>
      <c r="D372" s="34" t="s">
        <v>539</v>
      </c>
      <c r="E372" s="34" t="s">
        <v>540</v>
      </c>
      <c r="F372" s="34" t="s">
        <v>187</v>
      </c>
      <c r="G372" s="34"/>
      <c r="H372" s="34" t="s">
        <v>151</v>
      </c>
      <c r="I372" s="34" t="s">
        <v>541</v>
      </c>
      <c r="J372" s="35" t="s">
        <v>189</v>
      </c>
      <c r="K372" s="35" t="s">
        <v>542</v>
      </c>
    </row>
    <row r="373" spans="1:11" ht="24" customHeight="1">
      <c r="A373" s="33" t="s">
        <v>111</v>
      </c>
      <c r="B373" s="34" t="s">
        <v>543</v>
      </c>
      <c r="C373" s="34" t="s">
        <v>543</v>
      </c>
      <c r="D373" s="34" t="s">
        <v>544</v>
      </c>
      <c r="E373" s="34"/>
      <c r="F373" s="34" t="s">
        <v>545</v>
      </c>
      <c r="G373" s="34"/>
      <c r="H373" s="34" t="s">
        <v>151</v>
      </c>
      <c r="I373" s="34" t="s">
        <v>415</v>
      </c>
      <c r="J373" s="35" t="s">
        <v>546</v>
      </c>
      <c r="K373" s="35"/>
    </row>
    <row r="374" spans="1:11" ht="69">
      <c r="A374" s="33" t="s">
        <v>111</v>
      </c>
      <c r="B374" s="34" t="s">
        <v>547</v>
      </c>
      <c r="C374" s="34" t="s">
        <v>548</v>
      </c>
      <c r="D374" s="34" t="s">
        <v>549</v>
      </c>
      <c r="E374" s="34" t="s">
        <v>550</v>
      </c>
      <c r="F374" s="34" t="s">
        <v>259</v>
      </c>
      <c r="G374" s="34"/>
      <c r="H374" s="34" t="s">
        <v>151</v>
      </c>
      <c r="I374" s="34" t="s">
        <v>551</v>
      </c>
      <c r="J374" s="35" t="s">
        <v>261</v>
      </c>
      <c r="K374" s="35" t="s">
        <v>552</v>
      </c>
    </row>
    <row r="375" spans="1:11" ht="24" customHeight="1">
      <c r="A375" s="33" t="s">
        <v>111</v>
      </c>
      <c r="B375" s="34" t="s">
        <v>553</v>
      </c>
      <c r="C375" s="34" t="s">
        <v>554</v>
      </c>
      <c r="D375" s="34" t="s">
        <v>555</v>
      </c>
      <c r="E375" s="34"/>
      <c r="F375" s="34" t="s">
        <v>157</v>
      </c>
      <c r="G375" s="34"/>
      <c r="H375" s="34" t="s">
        <v>151</v>
      </c>
      <c r="I375" s="34" t="s">
        <v>852</v>
      </c>
      <c r="J375" s="35" t="s">
        <v>159</v>
      </c>
      <c r="K375" s="35"/>
    </row>
    <row r="376" spans="1:11" ht="45.95">
      <c r="A376" s="33" t="s">
        <v>111</v>
      </c>
      <c r="B376" s="34" t="s">
        <v>557</v>
      </c>
      <c r="C376" s="34" t="s">
        <v>558</v>
      </c>
      <c r="D376" s="34" t="s">
        <v>559</v>
      </c>
      <c r="E376" s="34" t="s">
        <v>560</v>
      </c>
      <c r="F376" s="34" t="s">
        <v>290</v>
      </c>
      <c r="G376" s="34"/>
      <c r="H376" s="34" t="s">
        <v>151</v>
      </c>
      <c r="I376" s="34">
        <v>11532198</v>
      </c>
      <c r="J376" s="35" t="s">
        <v>292</v>
      </c>
      <c r="K376" s="35" t="s">
        <v>561</v>
      </c>
    </row>
    <row r="377" spans="1:11" ht="24" customHeight="1">
      <c r="A377" s="33" t="s">
        <v>111</v>
      </c>
      <c r="B377" s="34" t="s">
        <v>562</v>
      </c>
      <c r="C377" s="34" t="s">
        <v>563</v>
      </c>
      <c r="D377" s="34" t="s">
        <v>564</v>
      </c>
      <c r="E377" s="34"/>
      <c r="F377" s="34" t="s">
        <v>335</v>
      </c>
      <c r="G377" s="34"/>
      <c r="H377" s="34" t="s">
        <v>151</v>
      </c>
      <c r="I377" s="34" t="s">
        <v>565</v>
      </c>
      <c r="J377" s="35" t="s">
        <v>337</v>
      </c>
      <c r="K377" s="35"/>
    </row>
    <row r="378" spans="1:11" ht="24" customHeight="1">
      <c r="A378" s="33" t="s">
        <v>111</v>
      </c>
      <c r="B378" s="34" t="s">
        <v>566</v>
      </c>
      <c r="C378" s="34" t="s">
        <v>567</v>
      </c>
      <c r="D378" s="34" t="s">
        <v>568</v>
      </c>
      <c r="E378" s="34" t="s">
        <v>569</v>
      </c>
      <c r="F378" s="34" t="s">
        <v>273</v>
      </c>
      <c r="G378" s="34"/>
      <c r="H378" s="34" t="s">
        <v>151</v>
      </c>
      <c r="I378" s="34" t="s">
        <v>570</v>
      </c>
      <c r="J378" s="35" t="s">
        <v>275</v>
      </c>
      <c r="K378" s="35" t="s">
        <v>571</v>
      </c>
    </row>
    <row r="379" spans="1:11" ht="24" customHeight="1">
      <c r="A379" s="33" t="s">
        <v>111</v>
      </c>
      <c r="B379" s="34" t="s">
        <v>572</v>
      </c>
      <c r="C379" s="34" t="s">
        <v>573</v>
      </c>
      <c r="D379" s="34" t="s">
        <v>574</v>
      </c>
      <c r="E379" s="34"/>
      <c r="F379" s="34" t="s">
        <v>157</v>
      </c>
      <c r="G379" s="34"/>
      <c r="H379" s="34" t="s">
        <v>151</v>
      </c>
      <c r="I379" s="34" t="s">
        <v>575</v>
      </c>
      <c r="J379" s="35" t="s">
        <v>159</v>
      </c>
      <c r="K379" s="35"/>
    </row>
    <row r="380" spans="1:11" ht="45.95">
      <c r="A380" s="33" t="s">
        <v>111</v>
      </c>
      <c r="B380" s="34" t="s">
        <v>576</v>
      </c>
      <c r="C380" s="34" t="s">
        <v>577</v>
      </c>
      <c r="D380" s="34" t="s">
        <v>578</v>
      </c>
      <c r="E380" s="34" t="s">
        <v>579</v>
      </c>
      <c r="F380" s="34" t="s">
        <v>290</v>
      </c>
      <c r="G380" s="34"/>
      <c r="H380" s="34" t="s">
        <v>151</v>
      </c>
      <c r="I380" s="34">
        <v>11532198</v>
      </c>
      <c r="J380" s="35" t="s">
        <v>292</v>
      </c>
      <c r="K380" s="35" t="s">
        <v>580</v>
      </c>
    </row>
    <row r="381" spans="1:11" ht="24" customHeight="1">
      <c r="A381" s="33" t="s">
        <v>111</v>
      </c>
      <c r="B381" s="34" t="s">
        <v>581</v>
      </c>
      <c r="C381" s="34" t="s">
        <v>582</v>
      </c>
      <c r="D381" s="34" t="s">
        <v>583</v>
      </c>
      <c r="E381" s="34"/>
      <c r="F381" s="34" t="s">
        <v>335</v>
      </c>
      <c r="G381" s="34"/>
      <c r="H381" s="34" t="s">
        <v>151</v>
      </c>
      <c r="I381" s="34" t="s">
        <v>565</v>
      </c>
      <c r="J381" s="35" t="s">
        <v>337</v>
      </c>
      <c r="K381" s="35"/>
    </row>
    <row r="382" spans="1:11" ht="24" customHeight="1">
      <c r="A382" s="33" t="s">
        <v>111</v>
      </c>
      <c r="B382" s="34" t="s">
        <v>584</v>
      </c>
      <c r="C382" s="34" t="s">
        <v>585</v>
      </c>
      <c r="D382" s="34" t="s">
        <v>586</v>
      </c>
      <c r="E382" s="34" t="s">
        <v>587</v>
      </c>
      <c r="F382" s="34" t="s">
        <v>273</v>
      </c>
      <c r="G382" s="34"/>
      <c r="H382" s="34" t="s">
        <v>151</v>
      </c>
      <c r="I382" s="34" t="s">
        <v>588</v>
      </c>
      <c r="J382" s="35" t="s">
        <v>275</v>
      </c>
      <c r="K382" s="35" t="s">
        <v>589</v>
      </c>
    </row>
    <row r="383" spans="1:11" ht="24" customHeight="1">
      <c r="A383" s="33" t="s">
        <v>111</v>
      </c>
      <c r="B383" s="34" t="s">
        <v>590</v>
      </c>
      <c r="C383" s="34" t="s">
        <v>591</v>
      </c>
      <c r="D383" s="34" t="s">
        <v>592</v>
      </c>
      <c r="E383" s="34"/>
      <c r="F383" s="34" t="s">
        <v>157</v>
      </c>
      <c r="G383" s="34"/>
      <c r="H383" s="34" t="s">
        <v>151</v>
      </c>
      <c r="I383" s="34" t="s">
        <v>575</v>
      </c>
      <c r="J383" s="35" t="s">
        <v>159</v>
      </c>
      <c r="K383" s="35"/>
    </row>
    <row r="384" spans="1:11" ht="24" customHeight="1">
      <c r="A384" s="33" t="s">
        <v>111</v>
      </c>
      <c r="B384" s="34" t="s">
        <v>593</v>
      </c>
      <c r="C384" s="34" t="s">
        <v>594</v>
      </c>
      <c r="D384" s="34" t="s">
        <v>595</v>
      </c>
      <c r="E384" s="34" t="s">
        <v>596</v>
      </c>
      <c r="F384" s="34" t="s">
        <v>223</v>
      </c>
      <c r="G384" s="34"/>
      <c r="H384" s="34" t="s">
        <v>151</v>
      </c>
      <c r="I384" s="34" t="s">
        <v>597</v>
      </c>
      <c r="J384" s="35" t="s">
        <v>225</v>
      </c>
      <c r="K384" s="35" t="s">
        <v>598</v>
      </c>
    </row>
    <row r="385" spans="1:11" ht="24" customHeight="1">
      <c r="A385" s="33" t="s">
        <v>111</v>
      </c>
      <c r="B385" s="34" t="s">
        <v>599</v>
      </c>
      <c r="C385" s="34" t="s">
        <v>600</v>
      </c>
      <c r="D385" s="34" t="s">
        <v>601</v>
      </c>
      <c r="E385" s="34"/>
      <c r="F385" s="34" t="s">
        <v>157</v>
      </c>
      <c r="G385" s="34"/>
      <c r="H385" s="34" t="s">
        <v>151</v>
      </c>
      <c r="I385" s="34" t="s">
        <v>602</v>
      </c>
      <c r="J385" s="35" t="s">
        <v>159</v>
      </c>
      <c r="K385" s="35"/>
    </row>
    <row r="386" spans="1:11" ht="24" customHeight="1">
      <c r="A386" s="33" t="s">
        <v>111</v>
      </c>
      <c r="B386" s="34" t="s">
        <v>603</v>
      </c>
      <c r="C386" s="34" t="s">
        <v>604</v>
      </c>
      <c r="D386" s="34" t="s">
        <v>605</v>
      </c>
      <c r="E386" s="34" t="s">
        <v>606</v>
      </c>
      <c r="F386" s="34" t="s">
        <v>223</v>
      </c>
      <c r="G386" s="34"/>
      <c r="H386" s="34" t="s">
        <v>151</v>
      </c>
      <c r="I386" s="34" t="s">
        <v>597</v>
      </c>
      <c r="J386" s="35" t="s">
        <v>225</v>
      </c>
      <c r="K386" s="35" t="s">
        <v>607</v>
      </c>
    </row>
    <row r="387" spans="1:11" ht="24" customHeight="1">
      <c r="A387" s="33" t="s">
        <v>111</v>
      </c>
      <c r="B387" s="34" t="s">
        <v>608</v>
      </c>
      <c r="C387" s="34" t="s">
        <v>609</v>
      </c>
      <c r="D387" s="34" t="s">
        <v>610</v>
      </c>
      <c r="E387" s="34"/>
      <c r="F387" s="34" t="s">
        <v>157</v>
      </c>
      <c r="G387" s="34"/>
      <c r="H387" s="34" t="s">
        <v>151</v>
      </c>
      <c r="I387" s="34" t="s">
        <v>602</v>
      </c>
      <c r="J387" s="35" t="s">
        <v>159</v>
      </c>
      <c r="K387" s="35"/>
    </row>
    <row r="388" spans="1:11" ht="45.95">
      <c r="A388" s="33" t="s">
        <v>111</v>
      </c>
      <c r="B388" s="34" t="s">
        <v>611</v>
      </c>
      <c r="C388" s="34" t="s">
        <v>612</v>
      </c>
      <c r="D388" s="34" t="s">
        <v>613</v>
      </c>
      <c r="E388" s="34" t="s">
        <v>614</v>
      </c>
      <c r="F388" s="34" t="s">
        <v>290</v>
      </c>
      <c r="G388" s="34"/>
      <c r="H388" s="34" t="s">
        <v>151</v>
      </c>
      <c r="I388" s="34" t="s">
        <v>615</v>
      </c>
      <c r="J388" s="35" t="s">
        <v>292</v>
      </c>
      <c r="K388" s="35" t="s">
        <v>616</v>
      </c>
    </row>
    <row r="389" spans="1:11" ht="24" customHeight="1">
      <c r="A389" s="33" t="s">
        <v>111</v>
      </c>
      <c r="B389" s="34" t="s">
        <v>617</v>
      </c>
      <c r="C389" s="34" t="s">
        <v>618</v>
      </c>
      <c r="D389" s="34" t="s">
        <v>619</v>
      </c>
      <c r="E389" s="34"/>
      <c r="F389" s="34" t="s">
        <v>397</v>
      </c>
      <c r="G389" s="34"/>
      <c r="H389" s="34" t="s">
        <v>151</v>
      </c>
      <c r="I389" s="34" t="s">
        <v>620</v>
      </c>
      <c r="J389" s="35" t="s">
        <v>399</v>
      </c>
      <c r="K389" s="35"/>
    </row>
    <row r="390" spans="1:11" ht="24" customHeight="1">
      <c r="A390" s="33" t="s">
        <v>111</v>
      </c>
      <c r="B390" s="34" t="s">
        <v>853</v>
      </c>
      <c r="C390" s="34" t="s">
        <v>854</v>
      </c>
      <c r="D390" s="34" t="s">
        <v>855</v>
      </c>
      <c r="E390" s="34" t="s">
        <v>856</v>
      </c>
      <c r="F390" s="34" t="s">
        <v>625</v>
      </c>
      <c r="G390" s="34"/>
      <c r="H390" s="34" t="s">
        <v>151</v>
      </c>
      <c r="I390" s="34" t="s">
        <v>857</v>
      </c>
      <c r="J390" s="35"/>
      <c r="K390" s="35" t="s">
        <v>858</v>
      </c>
    </row>
    <row r="391" spans="1:11" ht="24" customHeight="1">
      <c r="A391" s="33" t="s">
        <v>111</v>
      </c>
      <c r="B391" s="34" t="s">
        <v>859</v>
      </c>
      <c r="C391" s="34" t="s">
        <v>860</v>
      </c>
      <c r="D391" s="34" t="s">
        <v>861</v>
      </c>
      <c r="E391" s="34" t="s">
        <v>862</v>
      </c>
      <c r="F391" s="34" t="s">
        <v>625</v>
      </c>
      <c r="G391" s="34"/>
      <c r="H391" s="34" t="s">
        <v>151</v>
      </c>
      <c r="I391" s="34" t="s">
        <v>863</v>
      </c>
      <c r="J391" s="35" t="s">
        <v>627</v>
      </c>
      <c r="K391" s="35" t="s">
        <v>864</v>
      </c>
    </row>
    <row r="392" spans="1:11" ht="24" customHeight="1">
      <c r="A392" s="33" t="s">
        <v>111</v>
      </c>
      <c r="B392" s="34" t="s">
        <v>865</v>
      </c>
      <c r="C392" s="34" t="s">
        <v>866</v>
      </c>
      <c r="D392" s="34" t="s">
        <v>867</v>
      </c>
      <c r="E392" s="34" t="s">
        <v>868</v>
      </c>
      <c r="F392" s="34" t="s">
        <v>625</v>
      </c>
      <c r="G392" s="34"/>
      <c r="H392" s="34" t="s">
        <v>151</v>
      </c>
      <c r="I392" s="34" t="s">
        <v>869</v>
      </c>
      <c r="J392" s="35" t="s">
        <v>627</v>
      </c>
      <c r="K392" s="35" t="s">
        <v>870</v>
      </c>
    </row>
    <row r="393" spans="1:11" ht="36" customHeight="1">
      <c r="A393" s="33" t="s">
        <v>111</v>
      </c>
      <c r="B393" s="34" t="s">
        <v>871</v>
      </c>
      <c r="C393" s="34" t="s">
        <v>872</v>
      </c>
      <c r="D393" s="34" t="s">
        <v>873</v>
      </c>
      <c r="E393" s="34" t="s">
        <v>874</v>
      </c>
      <c r="F393" s="34" t="s">
        <v>633</v>
      </c>
      <c r="G393" s="34"/>
      <c r="H393" s="34" t="s">
        <v>151</v>
      </c>
      <c r="I393" s="34" t="s">
        <v>875</v>
      </c>
      <c r="J393" s="35" t="s">
        <v>635</v>
      </c>
      <c r="K393" s="35" t="s">
        <v>876</v>
      </c>
    </row>
    <row r="394" spans="1:11" ht="24" customHeight="1">
      <c r="A394" s="33" t="s">
        <v>111</v>
      </c>
      <c r="B394" s="34" t="s">
        <v>877</v>
      </c>
      <c r="C394" s="34" t="s">
        <v>878</v>
      </c>
      <c r="D394" s="34" t="s">
        <v>879</v>
      </c>
      <c r="E394" s="34" t="s">
        <v>880</v>
      </c>
      <c r="F394" s="34" t="s">
        <v>625</v>
      </c>
      <c r="G394" s="34"/>
      <c r="H394" s="34" t="s">
        <v>151</v>
      </c>
      <c r="I394" s="34" t="s">
        <v>881</v>
      </c>
      <c r="J394" s="35" t="s">
        <v>627</v>
      </c>
      <c r="K394" s="35" t="s">
        <v>882</v>
      </c>
    </row>
    <row r="395" spans="1:11" ht="24" customHeight="1">
      <c r="A395" s="33" t="s">
        <v>111</v>
      </c>
      <c r="B395" s="34" t="s">
        <v>883</v>
      </c>
      <c r="C395" s="34" t="s">
        <v>884</v>
      </c>
      <c r="D395" s="34" t="s">
        <v>885</v>
      </c>
      <c r="E395" s="34" t="s">
        <v>886</v>
      </c>
      <c r="F395" s="34" t="s">
        <v>625</v>
      </c>
      <c r="G395" s="34"/>
      <c r="H395" s="34" t="s">
        <v>151</v>
      </c>
      <c r="I395" s="34" t="s">
        <v>869</v>
      </c>
      <c r="J395" s="35" t="s">
        <v>627</v>
      </c>
      <c r="K395" s="35" t="s">
        <v>887</v>
      </c>
    </row>
    <row r="396" spans="1:11" ht="24" customHeight="1">
      <c r="A396" s="33" t="s">
        <v>111</v>
      </c>
      <c r="B396" s="34" t="s">
        <v>888</v>
      </c>
      <c r="C396" s="34" t="s">
        <v>889</v>
      </c>
      <c r="D396" s="34" t="s">
        <v>890</v>
      </c>
      <c r="E396" s="34" t="s">
        <v>891</v>
      </c>
      <c r="F396" s="34" t="s">
        <v>625</v>
      </c>
      <c r="G396" s="34"/>
      <c r="H396" s="34" t="s">
        <v>151</v>
      </c>
      <c r="I396" s="34" t="s">
        <v>892</v>
      </c>
      <c r="J396" s="35" t="s">
        <v>627</v>
      </c>
      <c r="K396" s="35" t="s">
        <v>893</v>
      </c>
    </row>
    <row r="397" spans="1:11" ht="24" customHeight="1">
      <c r="A397" s="33" t="s">
        <v>111</v>
      </c>
      <c r="B397" s="34" t="s">
        <v>894</v>
      </c>
      <c r="C397" s="34" t="s">
        <v>895</v>
      </c>
      <c r="D397" s="34" t="s">
        <v>896</v>
      </c>
      <c r="E397" s="34" t="s">
        <v>897</v>
      </c>
      <c r="F397" s="34" t="s">
        <v>625</v>
      </c>
      <c r="G397" s="34"/>
      <c r="H397" s="34" t="s">
        <v>151</v>
      </c>
      <c r="I397" s="34" t="s">
        <v>898</v>
      </c>
      <c r="J397" s="35" t="s">
        <v>627</v>
      </c>
      <c r="K397" s="35" t="s">
        <v>899</v>
      </c>
    </row>
    <row r="398" spans="1:11" ht="24" customHeight="1">
      <c r="A398" s="33" t="s">
        <v>111</v>
      </c>
      <c r="B398" s="34" t="s">
        <v>900</v>
      </c>
      <c r="C398" s="34" t="s">
        <v>901</v>
      </c>
      <c r="D398" s="34" t="s">
        <v>902</v>
      </c>
      <c r="E398" s="34" t="s">
        <v>903</v>
      </c>
      <c r="F398" s="34" t="s">
        <v>625</v>
      </c>
      <c r="G398" s="34"/>
      <c r="H398" s="34" t="s">
        <v>151</v>
      </c>
      <c r="I398" s="34" t="s">
        <v>810</v>
      </c>
      <c r="J398" s="35" t="s">
        <v>627</v>
      </c>
      <c r="K398" s="35" t="s">
        <v>904</v>
      </c>
    </row>
    <row r="399" spans="1:11" ht="24" customHeight="1">
      <c r="A399" s="33" t="s">
        <v>111</v>
      </c>
      <c r="B399" s="34" t="s">
        <v>905</v>
      </c>
      <c r="C399" s="34" t="s">
        <v>906</v>
      </c>
      <c r="D399" s="34" t="s">
        <v>907</v>
      </c>
      <c r="E399" s="34" t="s">
        <v>908</v>
      </c>
      <c r="F399" s="34" t="s">
        <v>625</v>
      </c>
      <c r="G399" s="34"/>
      <c r="H399" s="34" t="s">
        <v>151</v>
      </c>
      <c r="I399" s="34" t="s">
        <v>909</v>
      </c>
      <c r="J399" s="35" t="s">
        <v>627</v>
      </c>
      <c r="K399" s="35" t="s">
        <v>910</v>
      </c>
    </row>
    <row r="400" spans="1:11" ht="24" customHeight="1">
      <c r="A400" s="33" t="s">
        <v>117</v>
      </c>
      <c r="B400" s="34" t="s">
        <v>911</v>
      </c>
      <c r="C400" s="34" t="s">
        <v>912</v>
      </c>
      <c r="D400" s="34" t="s">
        <v>913</v>
      </c>
      <c r="E400" s="34" t="s">
        <v>914</v>
      </c>
      <c r="F400" s="34" t="s">
        <v>403</v>
      </c>
      <c r="G400" s="34"/>
      <c r="H400" s="34" t="s">
        <v>151</v>
      </c>
      <c r="I400" s="34" t="s">
        <v>428</v>
      </c>
      <c r="J400" s="35" t="s">
        <v>405</v>
      </c>
      <c r="K400" s="35" t="s">
        <v>915</v>
      </c>
    </row>
    <row r="401" spans="1:11" ht="24" customHeight="1">
      <c r="A401" s="33" t="s">
        <v>117</v>
      </c>
      <c r="B401" s="34" t="s">
        <v>146</v>
      </c>
      <c r="C401" s="34" t="s">
        <v>147</v>
      </c>
      <c r="D401" s="34" t="s">
        <v>148</v>
      </c>
      <c r="E401" s="34" t="s">
        <v>149</v>
      </c>
      <c r="F401" s="34" t="s">
        <v>150</v>
      </c>
      <c r="G401" s="34"/>
      <c r="H401" s="34" t="s">
        <v>151</v>
      </c>
      <c r="I401" s="34">
        <v>73</v>
      </c>
      <c r="J401" s="35" t="s">
        <v>152</v>
      </c>
      <c r="K401" s="35" t="s">
        <v>153</v>
      </c>
    </row>
    <row r="402" spans="1:11" ht="24" customHeight="1">
      <c r="A402" s="33" t="s">
        <v>117</v>
      </c>
      <c r="B402" s="34" t="s">
        <v>154</v>
      </c>
      <c r="C402" s="34" t="s">
        <v>155</v>
      </c>
      <c r="D402" s="34" t="s">
        <v>156</v>
      </c>
      <c r="E402" s="34"/>
      <c r="F402" s="34" t="s">
        <v>157</v>
      </c>
      <c r="G402" s="34"/>
      <c r="H402" s="34" t="s">
        <v>151</v>
      </c>
      <c r="I402" s="34" t="s">
        <v>916</v>
      </c>
      <c r="J402" s="35" t="s">
        <v>159</v>
      </c>
      <c r="K402" s="35"/>
    </row>
    <row r="403" spans="1:11" ht="45.95">
      <c r="A403" s="33" t="s">
        <v>117</v>
      </c>
      <c r="B403" s="34" t="s">
        <v>917</v>
      </c>
      <c r="C403" s="34" t="s">
        <v>918</v>
      </c>
      <c r="D403" s="34" t="s">
        <v>919</v>
      </c>
      <c r="E403" s="34" t="s">
        <v>920</v>
      </c>
      <c r="F403" s="34" t="s">
        <v>290</v>
      </c>
      <c r="G403" s="34"/>
      <c r="H403" s="34" t="s">
        <v>151</v>
      </c>
      <c r="I403" s="34">
        <v>11272136</v>
      </c>
      <c r="J403" s="35" t="s">
        <v>292</v>
      </c>
      <c r="K403" s="35" t="s">
        <v>921</v>
      </c>
    </row>
    <row r="404" spans="1:11" ht="24" customHeight="1">
      <c r="A404" s="33" t="s">
        <v>117</v>
      </c>
      <c r="B404" s="34" t="s">
        <v>922</v>
      </c>
      <c r="C404" s="34" t="s">
        <v>923</v>
      </c>
      <c r="D404" s="34" t="s">
        <v>924</v>
      </c>
      <c r="E404" s="34"/>
      <c r="F404" s="34" t="s">
        <v>157</v>
      </c>
      <c r="G404" s="34"/>
      <c r="H404" s="34" t="s">
        <v>151</v>
      </c>
      <c r="I404" s="34" t="s">
        <v>925</v>
      </c>
      <c r="J404" s="35" t="s">
        <v>159</v>
      </c>
      <c r="K404" s="35"/>
    </row>
    <row r="405" spans="1:11" ht="24" customHeight="1">
      <c r="A405" s="33" t="s">
        <v>117</v>
      </c>
      <c r="B405" s="34" t="s">
        <v>160</v>
      </c>
      <c r="C405" s="34" t="s">
        <v>161</v>
      </c>
      <c r="D405" s="34" t="s">
        <v>162</v>
      </c>
      <c r="E405" s="34" t="s">
        <v>163</v>
      </c>
      <c r="F405" s="34" t="s">
        <v>164</v>
      </c>
      <c r="G405" s="34"/>
      <c r="H405" s="34" t="s">
        <v>151</v>
      </c>
      <c r="I405" s="34">
        <v>889</v>
      </c>
      <c r="J405" s="35" t="s">
        <v>165</v>
      </c>
      <c r="K405" s="35" t="s">
        <v>166</v>
      </c>
    </row>
    <row r="406" spans="1:11" ht="24" customHeight="1">
      <c r="A406" s="33" t="s">
        <v>117</v>
      </c>
      <c r="B406" s="34" t="s">
        <v>167</v>
      </c>
      <c r="C406" s="34" t="s">
        <v>168</v>
      </c>
      <c r="D406" s="34" t="s">
        <v>169</v>
      </c>
      <c r="E406" s="34"/>
      <c r="F406" s="34" t="s">
        <v>157</v>
      </c>
      <c r="G406" s="34"/>
      <c r="H406" s="34" t="s">
        <v>151</v>
      </c>
      <c r="I406" s="34" t="s">
        <v>170</v>
      </c>
      <c r="J406" s="35" t="s">
        <v>159</v>
      </c>
      <c r="K406" s="35"/>
    </row>
    <row r="407" spans="1:11" ht="57.6">
      <c r="A407" s="33" t="s">
        <v>117</v>
      </c>
      <c r="B407" s="34" t="s">
        <v>171</v>
      </c>
      <c r="C407" s="34" t="s">
        <v>172</v>
      </c>
      <c r="D407" s="34" t="s">
        <v>173</v>
      </c>
      <c r="E407" s="34" t="s">
        <v>174</v>
      </c>
      <c r="F407" s="34" t="s">
        <v>175</v>
      </c>
      <c r="G407" s="34"/>
      <c r="H407" s="34" t="s">
        <v>151</v>
      </c>
      <c r="I407" s="34" t="s">
        <v>176</v>
      </c>
      <c r="J407" s="35" t="s">
        <v>177</v>
      </c>
      <c r="K407" s="35" t="s">
        <v>178</v>
      </c>
    </row>
    <row r="408" spans="1:11" ht="24" customHeight="1">
      <c r="A408" s="33" t="s">
        <v>117</v>
      </c>
      <c r="B408" s="34" t="s">
        <v>179</v>
      </c>
      <c r="C408" s="34" t="s">
        <v>180</v>
      </c>
      <c r="D408" s="34" t="s">
        <v>181</v>
      </c>
      <c r="E408" s="34"/>
      <c r="F408" s="34" t="s">
        <v>157</v>
      </c>
      <c r="G408" s="34"/>
      <c r="H408" s="34" t="s">
        <v>151</v>
      </c>
      <c r="I408" s="34" t="s">
        <v>182</v>
      </c>
      <c r="J408" s="35" t="s">
        <v>159</v>
      </c>
      <c r="K408" s="35"/>
    </row>
    <row r="409" spans="1:11" ht="45.95">
      <c r="A409" s="33" t="s">
        <v>117</v>
      </c>
      <c r="B409" s="34" t="s">
        <v>183</v>
      </c>
      <c r="C409" s="34" t="s">
        <v>184</v>
      </c>
      <c r="D409" s="34" t="s">
        <v>185</v>
      </c>
      <c r="E409" s="34" t="s">
        <v>186</v>
      </c>
      <c r="F409" s="34" t="s">
        <v>187</v>
      </c>
      <c r="G409" s="34"/>
      <c r="H409" s="34" t="s">
        <v>151</v>
      </c>
      <c r="I409" s="34" t="s">
        <v>188</v>
      </c>
      <c r="J409" s="35" t="s">
        <v>189</v>
      </c>
      <c r="K409" s="35" t="s">
        <v>190</v>
      </c>
    </row>
    <row r="410" spans="1:11" ht="24" customHeight="1">
      <c r="A410" s="33" t="s">
        <v>117</v>
      </c>
      <c r="B410" s="34" t="s">
        <v>191</v>
      </c>
      <c r="C410" s="34" t="s">
        <v>192</v>
      </c>
      <c r="D410" s="34" t="s">
        <v>193</v>
      </c>
      <c r="E410" s="34"/>
      <c r="F410" s="34" t="s">
        <v>194</v>
      </c>
      <c r="G410" s="34"/>
      <c r="H410" s="34" t="s">
        <v>151</v>
      </c>
      <c r="I410" s="34" t="s">
        <v>195</v>
      </c>
      <c r="J410" s="35" t="s">
        <v>196</v>
      </c>
      <c r="K410" s="35"/>
    </row>
    <row r="411" spans="1:11" ht="34.5">
      <c r="A411" s="33" t="s">
        <v>117</v>
      </c>
      <c r="B411" s="34" t="s">
        <v>197</v>
      </c>
      <c r="C411" s="34" t="s">
        <v>198</v>
      </c>
      <c r="D411" s="34" t="s">
        <v>199</v>
      </c>
      <c r="E411" s="34" t="s">
        <v>200</v>
      </c>
      <c r="F411" s="34" t="s">
        <v>187</v>
      </c>
      <c r="G411" s="34"/>
      <c r="H411" s="34" t="s">
        <v>151</v>
      </c>
      <c r="I411" s="34" t="s">
        <v>188</v>
      </c>
      <c r="J411" s="35" t="s">
        <v>189</v>
      </c>
      <c r="K411" s="35" t="s">
        <v>201</v>
      </c>
    </row>
    <row r="412" spans="1:11" ht="24" customHeight="1">
      <c r="A412" s="33" t="s">
        <v>117</v>
      </c>
      <c r="B412" s="34" t="s">
        <v>202</v>
      </c>
      <c r="C412" s="34" t="s">
        <v>203</v>
      </c>
      <c r="D412" s="34" t="s">
        <v>204</v>
      </c>
      <c r="E412" s="34"/>
      <c r="F412" s="34" t="s">
        <v>205</v>
      </c>
      <c r="G412" s="34"/>
      <c r="H412" s="34" t="s">
        <v>151</v>
      </c>
      <c r="I412" s="34" t="s">
        <v>195</v>
      </c>
      <c r="J412" s="35" t="s">
        <v>206</v>
      </c>
      <c r="K412" s="35"/>
    </row>
    <row r="413" spans="1:11" ht="45.95">
      <c r="A413" s="33" t="s">
        <v>117</v>
      </c>
      <c r="B413" s="34" t="s">
        <v>926</v>
      </c>
      <c r="C413" s="34" t="s">
        <v>927</v>
      </c>
      <c r="D413" s="34" t="s">
        <v>928</v>
      </c>
      <c r="E413" s="34" t="s">
        <v>929</v>
      </c>
      <c r="F413" s="34" t="s">
        <v>259</v>
      </c>
      <c r="G413" s="34"/>
      <c r="H413" s="34" t="s">
        <v>151</v>
      </c>
      <c r="I413" s="34" t="s">
        <v>930</v>
      </c>
      <c r="J413" s="35" t="s">
        <v>261</v>
      </c>
      <c r="K413" s="35" t="s">
        <v>931</v>
      </c>
    </row>
    <row r="414" spans="1:11" ht="24" customHeight="1">
      <c r="A414" s="33" t="s">
        <v>117</v>
      </c>
      <c r="B414" s="34" t="s">
        <v>932</v>
      </c>
      <c r="C414" s="34" t="s">
        <v>933</v>
      </c>
      <c r="D414" s="34" t="s">
        <v>934</v>
      </c>
      <c r="E414" s="34"/>
      <c r="F414" s="34" t="s">
        <v>157</v>
      </c>
      <c r="G414" s="34"/>
      <c r="H414" s="34" t="s">
        <v>151</v>
      </c>
      <c r="I414" s="34" t="s">
        <v>935</v>
      </c>
      <c r="J414" s="35" t="s">
        <v>159</v>
      </c>
      <c r="K414" s="35"/>
    </row>
    <row r="415" spans="1:11" ht="57.6">
      <c r="A415" s="33" t="s">
        <v>117</v>
      </c>
      <c r="B415" s="34" t="s">
        <v>269</v>
      </c>
      <c r="C415" s="34" t="s">
        <v>270</v>
      </c>
      <c r="D415" s="34" t="s">
        <v>271</v>
      </c>
      <c r="E415" s="34" t="s">
        <v>272</v>
      </c>
      <c r="F415" s="34" t="s">
        <v>273</v>
      </c>
      <c r="G415" s="34"/>
      <c r="H415" s="34" t="s">
        <v>151</v>
      </c>
      <c r="I415" s="34" t="s">
        <v>936</v>
      </c>
      <c r="J415" s="35" t="s">
        <v>275</v>
      </c>
      <c r="K415" s="35" t="s">
        <v>276</v>
      </c>
    </row>
    <row r="416" spans="1:11" ht="24" customHeight="1">
      <c r="A416" s="33" t="s">
        <v>117</v>
      </c>
      <c r="B416" s="34" t="s">
        <v>277</v>
      </c>
      <c r="C416" s="34" t="s">
        <v>278</v>
      </c>
      <c r="D416" s="34" t="s">
        <v>279</v>
      </c>
      <c r="E416" s="34"/>
      <c r="F416" s="34" t="s">
        <v>157</v>
      </c>
      <c r="G416" s="34"/>
      <c r="H416" s="34" t="s">
        <v>151</v>
      </c>
      <c r="I416" s="34" t="s">
        <v>937</v>
      </c>
      <c r="J416" s="35" t="s">
        <v>159</v>
      </c>
      <c r="K416" s="35"/>
    </row>
    <row r="417" spans="1:11" ht="34.5">
      <c r="A417" s="33" t="s">
        <v>117</v>
      </c>
      <c r="B417" s="34" t="s">
        <v>304</v>
      </c>
      <c r="C417" s="34" t="s">
        <v>305</v>
      </c>
      <c r="D417" s="34" t="s">
        <v>306</v>
      </c>
      <c r="E417" s="34" t="s">
        <v>307</v>
      </c>
      <c r="F417" s="34" t="s">
        <v>223</v>
      </c>
      <c r="G417" s="34"/>
      <c r="H417" s="34" t="s">
        <v>151</v>
      </c>
      <c r="I417" s="34" t="s">
        <v>938</v>
      </c>
      <c r="J417" s="35" t="s">
        <v>225</v>
      </c>
      <c r="K417" s="35" t="s">
        <v>309</v>
      </c>
    </row>
    <row r="418" spans="1:11" ht="24" customHeight="1">
      <c r="A418" s="33" t="s">
        <v>117</v>
      </c>
      <c r="B418" s="34" t="s">
        <v>310</v>
      </c>
      <c r="C418" s="34" t="s">
        <v>311</v>
      </c>
      <c r="D418" s="34" t="s">
        <v>312</v>
      </c>
      <c r="E418" s="34"/>
      <c r="F418" s="34" t="s">
        <v>313</v>
      </c>
      <c r="G418" s="34"/>
      <c r="H418" s="34" t="s">
        <v>151</v>
      </c>
      <c r="I418" s="34" t="s">
        <v>939</v>
      </c>
      <c r="J418" s="35" t="s">
        <v>315</v>
      </c>
      <c r="K418" s="35"/>
    </row>
    <row r="419" spans="1:11" ht="23.1">
      <c r="A419" s="33" t="s">
        <v>117</v>
      </c>
      <c r="B419" s="34" t="s">
        <v>674</v>
      </c>
      <c r="C419" s="34" t="s">
        <v>675</v>
      </c>
      <c r="D419" s="34" t="s">
        <v>676</v>
      </c>
      <c r="E419" s="34" t="s">
        <v>677</v>
      </c>
      <c r="F419" s="34" t="s">
        <v>259</v>
      </c>
      <c r="G419" s="34"/>
      <c r="H419" s="34" t="s">
        <v>151</v>
      </c>
      <c r="I419" s="34" t="s">
        <v>848</v>
      </c>
      <c r="J419" s="35" t="s">
        <v>261</v>
      </c>
      <c r="K419" s="35" t="s">
        <v>678</v>
      </c>
    </row>
    <row r="420" spans="1:11" ht="24" customHeight="1">
      <c r="A420" s="33" t="s">
        <v>117</v>
      </c>
      <c r="B420" s="34" t="s">
        <v>679</v>
      </c>
      <c r="C420" s="34" t="s">
        <v>680</v>
      </c>
      <c r="D420" s="34" t="s">
        <v>681</v>
      </c>
      <c r="E420" s="34"/>
      <c r="F420" s="34" t="s">
        <v>157</v>
      </c>
      <c r="G420" s="34"/>
      <c r="H420" s="34" t="s">
        <v>151</v>
      </c>
      <c r="I420" s="34" t="s">
        <v>849</v>
      </c>
      <c r="J420" s="35" t="s">
        <v>159</v>
      </c>
      <c r="K420" s="35"/>
    </row>
    <row r="421" spans="1:11" ht="24" customHeight="1">
      <c r="A421" s="33" t="s">
        <v>117</v>
      </c>
      <c r="B421" s="34" t="s">
        <v>316</v>
      </c>
      <c r="C421" s="34" t="s">
        <v>317</v>
      </c>
      <c r="D421" s="34" t="s">
        <v>318</v>
      </c>
      <c r="E421" s="34" t="s">
        <v>319</v>
      </c>
      <c r="F421" s="34" t="s">
        <v>150</v>
      </c>
      <c r="G421" s="34"/>
      <c r="H421" s="34" t="s">
        <v>151</v>
      </c>
      <c r="I421" s="34">
        <v>1</v>
      </c>
      <c r="J421" s="35" t="s">
        <v>320</v>
      </c>
      <c r="K421" s="35" t="s">
        <v>321</v>
      </c>
    </row>
    <row r="422" spans="1:11" ht="24" customHeight="1">
      <c r="A422" s="33" t="s">
        <v>117</v>
      </c>
      <c r="B422" s="34" t="s">
        <v>322</v>
      </c>
      <c r="C422" s="34" t="s">
        <v>323</v>
      </c>
      <c r="D422" s="34" t="s">
        <v>324</v>
      </c>
      <c r="E422" s="34"/>
      <c r="F422" s="34" t="s">
        <v>157</v>
      </c>
      <c r="G422" s="34"/>
      <c r="H422" s="34" t="s">
        <v>151</v>
      </c>
      <c r="I422" s="34" t="s">
        <v>325</v>
      </c>
      <c r="J422" s="35" t="s">
        <v>159</v>
      </c>
      <c r="K422" s="35"/>
    </row>
    <row r="423" spans="1:11" ht="57.6">
      <c r="A423" s="33" t="s">
        <v>117</v>
      </c>
      <c r="B423" s="34" t="s">
        <v>940</v>
      </c>
      <c r="C423" s="34" t="s">
        <v>941</v>
      </c>
      <c r="D423" s="34" t="s">
        <v>942</v>
      </c>
      <c r="E423" s="34" t="s">
        <v>943</v>
      </c>
      <c r="F423" s="34" t="s">
        <v>175</v>
      </c>
      <c r="G423" s="34"/>
      <c r="H423" s="34" t="s">
        <v>151</v>
      </c>
      <c r="I423" s="34" t="s">
        <v>23</v>
      </c>
      <c r="J423" s="35" t="s">
        <v>177</v>
      </c>
      <c r="K423" s="35" t="s">
        <v>944</v>
      </c>
    </row>
    <row r="424" spans="1:11">
      <c r="A424" s="33" t="s">
        <v>117</v>
      </c>
      <c r="B424" s="34" t="s">
        <v>945</v>
      </c>
      <c r="C424" s="34" t="s">
        <v>946</v>
      </c>
      <c r="D424" s="34" t="s">
        <v>947</v>
      </c>
      <c r="E424" s="34"/>
      <c r="F424" s="34" t="s">
        <v>175</v>
      </c>
      <c r="G424" s="34"/>
      <c r="H424" s="34" t="s">
        <v>151</v>
      </c>
      <c r="I424" s="34" t="s">
        <v>23</v>
      </c>
      <c r="J424" s="35" t="s">
        <v>177</v>
      </c>
      <c r="K424" s="35"/>
    </row>
    <row r="425" spans="1:11" ht="34.5">
      <c r="A425" s="33" t="s">
        <v>117</v>
      </c>
      <c r="B425" s="34" t="s">
        <v>948</v>
      </c>
      <c r="C425" s="34" t="s">
        <v>949</v>
      </c>
      <c r="D425" s="34" t="s">
        <v>950</v>
      </c>
      <c r="E425" s="34" t="s">
        <v>951</v>
      </c>
      <c r="F425" s="34" t="s">
        <v>187</v>
      </c>
      <c r="G425" s="34"/>
      <c r="H425" s="34" t="s">
        <v>151</v>
      </c>
      <c r="I425" s="34" t="s">
        <v>188</v>
      </c>
      <c r="J425" s="35" t="s">
        <v>189</v>
      </c>
      <c r="K425" s="35" t="s">
        <v>952</v>
      </c>
    </row>
    <row r="426" spans="1:11" ht="24" customHeight="1">
      <c r="A426" s="33" t="s">
        <v>117</v>
      </c>
      <c r="B426" s="34" t="s">
        <v>953</v>
      </c>
      <c r="C426" s="34" t="s">
        <v>954</v>
      </c>
      <c r="D426" s="34" t="s">
        <v>955</v>
      </c>
      <c r="E426" s="34"/>
      <c r="F426" s="34" t="s">
        <v>194</v>
      </c>
      <c r="G426" s="34"/>
      <c r="H426" s="34" t="s">
        <v>151</v>
      </c>
      <c r="I426" s="34" t="s">
        <v>195</v>
      </c>
      <c r="J426" s="35" t="s">
        <v>196</v>
      </c>
      <c r="K426" s="35"/>
    </row>
    <row r="427" spans="1:11" ht="24" customHeight="1">
      <c r="A427" s="33" t="s">
        <v>117</v>
      </c>
      <c r="B427" s="34" t="s">
        <v>956</v>
      </c>
      <c r="C427" s="34" t="s">
        <v>957</v>
      </c>
      <c r="D427" s="34" t="s">
        <v>956</v>
      </c>
      <c r="E427" s="34" t="s">
        <v>958</v>
      </c>
      <c r="F427" s="34" t="s">
        <v>959</v>
      </c>
      <c r="G427" s="34"/>
      <c r="H427" s="34" t="s">
        <v>151</v>
      </c>
      <c r="I427" s="34" t="s">
        <v>960</v>
      </c>
      <c r="J427" s="35" t="s">
        <v>961</v>
      </c>
      <c r="K427" s="35" t="s">
        <v>962</v>
      </c>
    </row>
    <row r="428" spans="1:11" ht="24" customHeight="1">
      <c r="A428" s="33" t="s">
        <v>117</v>
      </c>
      <c r="B428" s="34" t="s">
        <v>963</v>
      </c>
      <c r="C428" s="34" t="s">
        <v>964</v>
      </c>
      <c r="D428" s="34" t="s">
        <v>965</v>
      </c>
      <c r="E428" s="34"/>
      <c r="F428" s="34" t="s">
        <v>966</v>
      </c>
      <c r="G428" s="34"/>
      <c r="H428" s="34" t="s">
        <v>151</v>
      </c>
      <c r="I428" s="34" t="s">
        <v>967</v>
      </c>
      <c r="J428" s="35" t="s">
        <v>968</v>
      </c>
      <c r="K428" s="35"/>
    </row>
    <row r="429" spans="1:11" ht="24" customHeight="1">
      <c r="A429" s="33" t="s">
        <v>117</v>
      </c>
      <c r="B429" s="34" t="s">
        <v>326</v>
      </c>
      <c r="C429" s="34" t="s">
        <v>327</v>
      </c>
      <c r="D429" s="34" t="s">
        <v>328</v>
      </c>
      <c r="E429" s="34" t="s">
        <v>329</v>
      </c>
      <c r="F429" s="34" t="s">
        <v>290</v>
      </c>
      <c r="G429" s="34"/>
      <c r="H429" s="34" t="s">
        <v>151</v>
      </c>
      <c r="I429" s="34" t="s">
        <v>969</v>
      </c>
      <c r="J429" s="35" t="s">
        <v>292</v>
      </c>
      <c r="K429" s="35" t="s">
        <v>331</v>
      </c>
    </row>
    <row r="430" spans="1:11" ht="24" customHeight="1">
      <c r="A430" s="33" t="s">
        <v>117</v>
      </c>
      <c r="B430" s="34" t="s">
        <v>332</v>
      </c>
      <c r="C430" s="34" t="s">
        <v>333</v>
      </c>
      <c r="D430" s="34" t="s">
        <v>334</v>
      </c>
      <c r="E430" s="34"/>
      <c r="F430" s="34" t="s">
        <v>335</v>
      </c>
      <c r="G430" s="34"/>
      <c r="H430" s="34" t="s">
        <v>151</v>
      </c>
      <c r="I430" s="34" t="s">
        <v>970</v>
      </c>
      <c r="J430" s="35" t="s">
        <v>337</v>
      </c>
      <c r="K430" s="35"/>
    </row>
    <row r="431" spans="1:11" ht="24" customHeight="1">
      <c r="A431" s="33" t="s">
        <v>117</v>
      </c>
      <c r="B431" s="34" t="s">
        <v>338</v>
      </c>
      <c r="C431" s="34" t="s">
        <v>339</v>
      </c>
      <c r="D431" s="34" t="s">
        <v>340</v>
      </c>
      <c r="E431" s="34" t="s">
        <v>341</v>
      </c>
      <c r="F431" s="34" t="s">
        <v>290</v>
      </c>
      <c r="G431" s="34"/>
      <c r="H431" s="34" t="s">
        <v>151</v>
      </c>
      <c r="I431" s="34">
        <v>447716</v>
      </c>
      <c r="J431" s="35" t="s">
        <v>292</v>
      </c>
      <c r="K431" s="35" t="s">
        <v>342</v>
      </c>
    </row>
    <row r="432" spans="1:11" ht="24" customHeight="1">
      <c r="A432" s="33" t="s">
        <v>117</v>
      </c>
      <c r="B432" s="34" t="s">
        <v>343</v>
      </c>
      <c r="C432" s="34" t="s">
        <v>344</v>
      </c>
      <c r="D432" s="34" t="s">
        <v>345</v>
      </c>
      <c r="E432" s="34"/>
      <c r="F432" s="34" t="s">
        <v>335</v>
      </c>
      <c r="G432" s="34"/>
      <c r="H432" s="34" t="s">
        <v>151</v>
      </c>
      <c r="I432" s="34" t="s">
        <v>970</v>
      </c>
      <c r="J432" s="35" t="s">
        <v>337</v>
      </c>
      <c r="K432" s="35"/>
    </row>
    <row r="433" spans="1:11" ht="24" customHeight="1">
      <c r="A433" s="33" t="s">
        <v>117</v>
      </c>
      <c r="B433" s="34" t="s">
        <v>346</v>
      </c>
      <c r="C433" s="34" t="s">
        <v>347</v>
      </c>
      <c r="D433" s="34" t="s">
        <v>348</v>
      </c>
      <c r="E433" s="34" t="s">
        <v>349</v>
      </c>
      <c r="F433" s="34" t="s">
        <v>187</v>
      </c>
      <c r="G433" s="34"/>
      <c r="H433" s="34" t="s">
        <v>151</v>
      </c>
      <c r="I433" s="34">
        <v>73</v>
      </c>
      <c r="J433" s="35" t="s">
        <v>189</v>
      </c>
      <c r="K433" s="35" t="s">
        <v>350</v>
      </c>
    </row>
    <row r="434" spans="1:11" ht="24" customHeight="1">
      <c r="A434" s="33" t="s">
        <v>117</v>
      </c>
      <c r="B434" s="34" t="s">
        <v>351</v>
      </c>
      <c r="C434" s="34" t="s">
        <v>352</v>
      </c>
      <c r="D434" s="34" t="s">
        <v>353</v>
      </c>
      <c r="E434" s="34"/>
      <c r="F434" s="34" t="s">
        <v>290</v>
      </c>
      <c r="G434" s="34"/>
      <c r="H434" s="34" t="s">
        <v>151</v>
      </c>
      <c r="I434" s="34" t="s">
        <v>916</v>
      </c>
      <c r="J434" s="35" t="s">
        <v>292</v>
      </c>
      <c r="K434" s="35"/>
    </row>
    <row r="435" spans="1:11" ht="34.5">
      <c r="A435" s="33" t="s">
        <v>117</v>
      </c>
      <c r="B435" s="34" t="s">
        <v>354</v>
      </c>
      <c r="C435" s="34" t="s">
        <v>355</v>
      </c>
      <c r="D435" s="34" t="s">
        <v>356</v>
      </c>
      <c r="E435" s="34" t="s">
        <v>357</v>
      </c>
      <c r="F435" s="34" t="s">
        <v>223</v>
      </c>
      <c r="G435" s="34"/>
      <c r="H435" s="34" t="s">
        <v>151</v>
      </c>
      <c r="I435" s="34" t="s">
        <v>971</v>
      </c>
      <c r="J435" s="35" t="s">
        <v>225</v>
      </c>
      <c r="K435" s="35" t="s">
        <v>359</v>
      </c>
    </row>
    <row r="436" spans="1:11" ht="24" customHeight="1">
      <c r="A436" s="33" t="s">
        <v>117</v>
      </c>
      <c r="B436" s="34" t="s">
        <v>360</v>
      </c>
      <c r="C436" s="34" t="s">
        <v>361</v>
      </c>
      <c r="D436" s="34" t="s">
        <v>362</v>
      </c>
      <c r="E436" s="34"/>
      <c r="F436" s="34" t="s">
        <v>157</v>
      </c>
      <c r="G436" s="34"/>
      <c r="H436" s="34" t="s">
        <v>151</v>
      </c>
      <c r="I436" s="34" t="s">
        <v>972</v>
      </c>
      <c r="J436" s="35" t="s">
        <v>159</v>
      </c>
      <c r="K436" s="35"/>
    </row>
    <row r="437" spans="1:11" ht="34.5">
      <c r="A437" s="33" t="s">
        <v>117</v>
      </c>
      <c r="B437" s="34" t="s">
        <v>363</v>
      </c>
      <c r="C437" s="34" t="s">
        <v>364</v>
      </c>
      <c r="D437" s="34" t="s">
        <v>365</v>
      </c>
      <c r="E437" s="34" t="s">
        <v>366</v>
      </c>
      <c r="F437" s="34" t="s">
        <v>223</v>
      </c>
      <c r="G437" s="34"/>
      <c r="H437" s="34" t="s">
        <v>151</v>
      </c>
      <c r="I437" s="34">
        <v>306</v>
      </c>
      <c r="J437" s="35" t="s">
        <v>225</v>
      </c>
      <c r="K437" s="35" t="s">
        <v>367</v>
      </c>
    </row>
    <row r="438" spans="1:11" ht="24" customHeight="1">
      <c r="A438" s="33" t="s">
        <v>117</v>
      </c>
      <c r="B438" s="34" t="s">
        <v>368</v>
      </c>
      <c r="C438" s="34" t="s">
        <v>369</v>
      </c>
      <c r="D438" s="34" t="s">
        <v>370</v>
      </c>
      <c r="E438" s="34"/>
      <c r="F438" s="34" t="s">
        <v>157</v>
      </c>
      <c r="G438" s="34"/>
      <c r="H438" s="34" t="s">
        <v>151</v>
      </c>
      <c r="I438" s="34" t="s">
        <v>972</v>
      </c>
      <c r="J438" s="35" t="s">
        <v>159</v>
      </c>
      <c r="K438" s="35"/>
    </row>
    <row r="439" spans="1:11" ht="34.5">
      <c r="A439" s="33" t="s">
        <v>117</v>
      </c>
      <c r="B439" s="34" t="s">
        <v>371</v>
      </c>
      <c r="C439" s="34" t="s">
        <v>372</v>
      </c>
      <c r="D439" s="34" t="s">
        <v>373</v>
      </c>
      <c r="E439" s="34" t="s">
        <v>374</v>
      </c>
      <c r="F439" s="34" t="s">
        <v>223</v>
      </c>
      <c r="G439" s="34"/>
      <c r="H439" s="34" t="s">
        <v>151</v>
      </c>
      <c r="I439" s="34">
        <v>141</v>
      </c>
      <c r="J439" s="35" t="s">
        <v>225</v>
      </c>
      <c r="K439" s="35" t="s">
        <v>375</v>
      </c>
    </row>
    <row r="440" spans="1:11" ht="24" customHeight="1">
      <c r="A440" s="33" t="s">
        <v>117</v>
      </c>
      <c r="B440" s="34" t="s">
        <v>376</v>
      </c>
      <c r="C440" s="34" t="s">
        <v>377</v>
      </c>
      <c r="D440" s="34" t="s">
        <v>378</v>
      </c>
      <c r="E440" s="34"/>
      <c r="F440" s="34" t="s">
        <v>157</v>
      </c>
      <c r="G440" s="34"/>
      <c r="H440" s="34" t="s">
        <v>151</v>
      </c>
      <c r="I440" s="34" t="s">
        <v>973</v>
      </c>
      <c r="J440" s="35" t="s">
        <v>159</v>
      </c>
      <c r="K440" s="35"/>
    </row>
    <row r="441" spans="1:11" ht="24" customHeight="1">
      <c r="A441" s="33" t="s">
        <v>117</v>
      </c>
      <c r="B441" s="34" t="s">
        <v>380</v>
      </c>
      <c r="C441" s="34" t="s">
        <v>381</v>
      </c>
      <c r="D441" s="34" t="s">
        <v>382</v>
      </c>
      <c r="E441" s="34" t="s">
        <v>383</v>
      </c>
      <c r="F441" s="34" t="s">
        <v>259</v>
      </c>
      <c r="G441" s="34"/>
      <c r="H441" s="34" t="s">
        <v>151</v>
      </c>
      <c r="I441" s="34" t="s">
        <v>974</v>
      </c>
      <c r="J441" s="35" t="s">
        <v>261</v>
      </c>
      <c r="K441" s="35" t="s">
        <v>385</v>
      </c>
    </row>
    <row r="442" spans="1:11" ht="24" customHeight="1">
      <c r="A442" s="33" t="s">
        <v>117</v>
      </c>
      <c r="B442" s="34" t="s">
        <v>386</v>
      </c>
      <c r="C442" s="34" t="s">
        <v>387</v>
      </c>
      <c r="D442" s="34" t="s">
        <v>388</v>
      </c>
      <c r="E442" s="34"/>
      <c r="F442" s="34" t="s">
        <v>157</v>
      </c>
      <c r="G442" s="34"/>
      <c r="H442" s="34" t="s">
        <v>151</v>
      </c>
      <c r="I442" s="34" t="s">
        <v>973</v>
      </c>
      <c r="J442" s="35" t="s">
        <v>159</v>
      </c>
      <c r="K442" s="35"/>
    </row>
    <row r="443" spans="1:11" ht="45.95">
      <c r="A443" s="33" t="s">
        <v>117</v>
      </c>
      <c r="B443" s="34" t="s">
        <v>389</v>
      </c>
      <c r="C443" s="34" t="s">
        <v>390</v>
      </c>
      <c r="D443" s="34" t="s">
        <v>391</v>
      </c>
      <c r="E443" s="34" t="s">
        <v>392</v>
      </c>
      <c r="F443" s="34" t="s">
        <v>290</v>
      </c>
      <c r="G443" s="34"/>
      <c r="H443" s="34" t="s">
        <v>151</v>
      </c>
      <c r="I443" s="34">
        <v>88366353</v>
      </c>
      <c r="J443" s="35" t="s">
        <v>292</v>
      </c>
      <c r="K443" s="35" t="s">
        <v>393</v>
      </c>
    </row>
    <row r="444" spans="1:11" ht="24" customHeight="1">
      <c r="A444" s="33" t="s">
        <v>117</v>
      </c>
      <c r="B444" s="34" t="s">
        <v>394</v>
      </c>
      <c r="C444" s="34" t="s">
        <v>395</v>
      </c>
      <c r="D444" s="34" t="s">
        <v>396</v>
      </c>
      <c r="E444" s="34"/>
      <c r="F444" s="34" t="s">
        <v>397</v>
      </c>
      <c r="G444" s="34"/>
      <c r="H444" s="34" t="s">
        <v>151</v>
      </c>
      <c r="I444" s="34" t="s">
        <v>975</v>
      </c>
      <c r="J444" s="35" t="s">
        <v>399</v>
      </c>
      <c r="K444" s="35"/>
    </row>
    <row r="445" spans="1:11" ht="24" customHeight="1">
      <c r="A445" s="33" t="s">
        <v>117</v>
      </c>
      <c r="B445" s="34" t="s">
        <v>976</v>
      </c>
      <c r="C445" s="34" t="s">
        <v>977</v>
      </c>
      <c r="D445" s="34" t="s">
        <v>976</v>
      </c>
      <c r="E445" s="34" t="s">
        <v>978</v>
      </c>
      <c r="F445" s="34" t="s">
        <v>150</v>
      </c>
      <c r="G445" s="34"/>
      <c r="H445" s="34" t="s">
        <v>151</v>
      </c>
      <c r="I445" s="34">
        <v>30</v>
      </c>
      <c r="J445" s="35" t="s">
        <v>979</v>
      </c>
      <c r="K445" s="35" t="s">
        <v>980</v>
      </c>
    </row>
    <row r="446" spans="1:11" ht="24" customHeight="1">
      <c r="A446" s="33" t="s">
        <v>117</v>
      </c>
      <c r="B446" s="34" t="s">
        <v>981</v>
      </c>
      <c r="C446" s="34" t="s">
        <v>982</v>
      </c>
      <c r="D446" s="34" t="s">
        <v>983</v>
      </c>
      <c r="E446" s="34"/>
      <c r="F446" s="34" t="s">
        <v>984</v>
      </c>
      <c r="G446" s="34"/>
      <c r="H446" s="34" t="s">
        <v>151</v>
      </c>
      <c r="I446" s="34" t="s">
        <v>985</v>
      </c>
      <c r="J446" s="35" t="s">
        <v>986</v>
      </c>
      <c r="K446" s="35"/>
    </row>
    <row r="447" spans="1:11" ht="24" customHeight="1">
      <c r="A447" s="33" t="s">
        <v>117</v>
      </c>
      <c r="B447" s="34" t="s">
        <v>407</v>
      </c>
      <c r="C447" s="34" t="s">
        <v>408</v>
      </c>
      <c r="D447" s="34" t="s">
        <v>409</v>
      </c>
      <c r="E447" s="34" t="s">
        <v>410</v>
      </c>
      <c r="F447" s="34" t="s">
        <v>235</v>
      </c>
      <c r="G447" s="34"/>
      <c r="H447" s="34" t="s">
        <v>151</v>
      </c>
      <c r="I447" s="34">
        <v>73060</v>
      </c>
      <c r="J447" s="35" t="s">
        <v>237</v>
      </c>
      <c r="K447" s="35" t="s">
        <v>411</v>
      </c>
    </row>
    <row r="448" spans="1:11" ht="24" customHeight="1">
      <c r="A448" s="33" t="s">
        <v>117</v>
      </c>
      <c r="B448" s="34" t="s">
        <v>412</v>
      </c>
      <c r="C448" s="34" t="s">
        <v>413</v>
      </c>
      <c r="D448" s="34" t="s">
        <v>414</v>
      </c>
      <c r="E448" s="34"/>
      <c r="F448" s="34" t="s">
        <v>157</v>
      </c>
      <c r="G448" s="34"/>
      <c r="H448" s="34" t="s">
        <v>151</v>
      </c>
      <c r="I448" s="34" t="s">
        <v>987</v>
      </c>
      <c r="J448" s="35" t="s">
        <v>159</v>
      </c>
      <c r="K448" s="35"/>
    </row>
    <row r="449" spans="1:11" ht="45.95">
      <c r="A449" s="33" t="s">
        <v>117</v>
      </c>
      <c r="B449" s="34" t="s">
        <v>416</v>
      </c>
      <c r="C449" s="34" t="s">
        <v>417</v>
      </c>
      <c r="D449" s="34" t="s">
        <v>416</v>
      </c>
      <c r="E449" s="34" t="s">
        <v>418</v>
      </c>
      <c r="F449" s="34" t="s">
        <v>259</v>
      </c>
      <c r="G449" s="34"/>
      <c r="H449" s="34" t="s">
        <v>151</v>
      </c>
      <c r="I449" s="34" t="s">
        <v>930</v>
      </c>
      <c r="J449" s="35" t="s">
        <v>261</v>
      </c>
      <c r="K449" s="35" t="s">
        <v>420</v>
      </c>
    </row>
    <row r="450" spans="1:11" ht="24" customHeight="1">
      <c r="A450" s="33" t="s">
        <v>117</v>
      </c>
      <c r="B450" s="34" t="s">
        <v>421</v>
      </c>
      <c r="C450" s="34" t="s">
        <v>422</v>
      </c>
      <c r="D450" s="34" t="s">
        <v>423</v>
      </c>
      <c r="E450" s="34"/>
      <c r="F450" s="34" t="s">
        <v>157</v>
      </c>
      <c r="G450" s="34"/>
      <c r="H450" s="34" t="s">
        <v>151</v>
      </c>
      <c r="I450" s="34" t="s">
        <v>935</v>
      </c>
      <c r="J450" s="35" t="s">
        <v>159</v>
      </c>
      <c r="K450" s="35"/>
    </row>
    <row r="451" spans="1:11" ht="34.5">
      <c r="A451" s="33" t="s">
        <v>117</v>
      </c>
      <c r="B451" s="34" t="s">
        <v>430</v>
      </c>
      <c r="C451" s="34" t="s">
        <v>431</v>
      </c>
      <c r="D451" s="34" t="s">
        <v>432</v>
      </c>
      <c r="E451" s="34" t="s">
        <v>433</v>
      </c>
      <c r="F451" s="34" t="s">
        <v>187</v>
      </c>
      <c r="G451" s="34"/>
      <c r="H451" s="34" t="s">
        <v>151</v>
      </c>
      <c r="I451" s="34">
        <v>73</v>
      </c>
      <c r="J451" s="35" t="s">
        <v>189</v>
      </c>
      <c r="K451" s="35" t="s">
        <v>434</v>
      </c>
    </row>
    <row r="452" spans="1:11" ht="24" customHeight="1">
      <c r="A452" s="33" t="s">
        <v>117</v>
      </c>
      <c r="B452" s="34" t="s">
        <v>435</v>
      </c>
      <c r="C452" s="34" t="s">
        <v>436</v>
      </c>
      <c r="D452" s="34" t="s">
        <v>437</v>
      </c>
      <c r="E452" s="34"/>
      <c r="F452" s="34" t="s">
        <v>205</v>
      </c>
      <c r="G452" s="34"/>
      <c r="H452" s="34" t="s">
        <v>151</v>
      </c>
      <c r="I452" s="34" t="s">
        <v>916</v>
      </c>
      <c r="J452" s="35" t="s">
        <v>206</v>
      </c>
      <c r="K452" s="35"/>
    </row>
    <row r="453" spans="1:11" ht="23.1">
      <c r="A453" s="33" t="s">
        <v>117</v>
      </c>
      <c r="B453" s="34" t="s">
        <v>438</v>
      </c>
      <c r="C453" s="34" t="s">
        <v>439</v>
      </c>
      <c r="D453" s="34" t="s">
        <v>440</v>
      </c>
      <c r="E453" s="34" t="s">
        <v>441</v>
      </c>
      <c r="F453" s="34" t="s">
        <v>187</v>
      </c>
      <c r="G453" s="34"/>
      <c r="H453" s="34" t="s">
        <v>151</v>
      </c>
      <c r="I453" s="34">
        <v>31</v>
      </c>
      <c r="J453" s="35" t="s">
        <v>189</v>
      </c>
      <c r="K453" s="35" t="s">
        <v>442</v>
      </c>
    </row>
    <row r="454" spans="1:11" ht="24" customHeight="1">
      <c r="A454" s="33" t="s">
        <v>117</v>
      </c>
      <c r="B454" s="34" t="s">
        <v>443</v>
      </c>
      <c r="C454" s="34" t="s">
        <v>444</v>
      </c>
      <c r="D454" s="34" t="s">
        <v>445</v>
      </c>
      <c r="E454" s="34"/>
      <c r="F454" s="34" t="s">
        <v>157</v>
      </c>
      <c r="G454" s="34"/>
      <c r="H454" s="34" t="s">
        <v>151</v>
      </c>
      <c r="I454" s="34" t="s">
        <v>988</v>
      </c>
      <c r="J454" s="35" t="s">
        <v>159</v>
      </c>
      <c r="K454" s="35"/>
    </row>
    <row r="455" spans="1:11" ht="23.1">
      <c r="A455" s="33" t="s">
        <v>117</v>
      </c>
      <c r="B455" s="34" t="s">
        <v>447</v>
      </c>
      <c r="C455" s="34" t="s">
        <v>448</v>
      </c>
      <c r="D455" s="34" t="s">
        <v>449</v>
      </c>
      <c r="E455" s="34" t="s">
        <v>450</v>
      </c>
      <c r="F455" s="34" t="s">
        <v>223</v>
      </c>
      <c r="G455" s="34"/>
      <c r="H455" s="34" t="s">
        <v>151</v>
      </c>
      <c r="I455" s="34" t="s">
        <v>989</v>
      </c>
      <c r="J455" s="35" t="s">
        <v>225</v>
      </c>
      <c r="K455" s="35" t="s">
        <v>452</v>
      </c>
    </row>
    <row r="456" spans="1:11" ht="24" customHeight="1">
      <c r="A456" s="33" t="s">
        <v>117</v>
      </c>
      <c r="B456" s="34" t="s">
        <v>453</v>
      </c>
      <c r="C456" s="34" t="s">
        <v>454</v>
      </c>
      <c r="D456" s="34" t="s">
        <v>455</v>
      </c>
      <c r="E456" s="34"/>
      <c r="F456" s="34" t="s">
        <v>157</v>
      </c>
      <c r="G456" s="34"/>
      <c r="H456" s="34" t="s">
        <v>151</v>
      </c>
      <c r="I456" s="34" t="s">
        <v>990</v>
      </c>
      <c r="J456" s="35" t="s">
        <v>159</v>
      </c>
      <c r="K456" s="35"/>
    </row>
    <row r="457" spans="1:11" ht="23.1">
      <c r="A457" s="33" t="s">
        <v>117</v>
      </c>
      <c r="B457" s="34" t="s">
        <v>457</v>
      </c>
      <c r="C457" s="34" t="s">
        <v>458</v>
      </c>
      <c r="D457" s="34" t="s">
        <v>459</v>
      </c>
      <c r="E457" s="34" t="s">
        <v>460</v>
      </c>
      <c r="F457" s="34" t="s">
        <v>223</v>
      </c>
      <c r="G457" s="34"/>
      <c r="H457" s="34" t="s">
        <v>151</v>
      </c>
      <c r="I457" s="34" t="s">
        <v>991</v>
      </c>
      <c r="J457" s="35" t="s">
        <v>225</v>
      </c>
      <c r="K457" s="35" t="s">
        <v>462</v>
      </c>
    </row>
    <row r="458" spans="1:11" ht="24" customHeight="1">
      <c r="A458" s="33" t="s">
        <v>117</v>
      </c>
      <c r="B458" s="34" t="s">
        <v>463</v>
      </c>
      <c r="C458" s="34" t="s">
        <v>464</v>
      </c>
      <c r="D458" s="34" t="s">
        <v>465</v>
      </c>
      <c r="E458" s="34"/>
      <c r="F458" s="34" t="s">
        <v>157</v>
      </c>
      <c r="G458" s="34"/>
      <c r="H458" s="34" t="s">
        <v>151</v>
      </c>
      <c r="I458" s="34" t="s">
        <v>992</v>
      </c>
      <c r="J458" s="35" t="s">
        <v>159</v>
      </c>
      <c r="K458" s="35"/>
    </row>
    <row r="459" spans="1:11" ht="23.1">
      <c r="A459" s="33" t="s">
        <v>117</v>
      </c>
      <c r="B459" s="34" t="s">
        <v>467</v>
      </c>
      <c r="C459" s="34" t="s">
        <v>468</v>
      </c>
      <c r="D459" s="34" t="s">
        <v>469</v>
      </c>
      <c r="E459" s="34" t="s">
        <v>470</v>
      </c>
      <c r="F459" s="34" t="s">
        <v>175</v>
      </c>
      <c r="G459" s="34"/>
      <c r="H459" s="34" t="s">
        <v>151</v>
      </c>
      <c r="I459" s="34" t="s">
        <v>23</v>
      </c>
      <c r="J459" s="35" t="s">
        <v>177</v>
      </c>
      <c r="K459" s="35" t="s">
        <v>471</v>
      </c>
    </row>
    <row r="460" spans="1:11" ht="24" customHeight="1">
      <c r="A460" s="33" t="s">
        <v>117</v>
      </c>
      <c r="B460" s="34" t="s">
        <v>472</v>
      </c>
      <c r="C460" s="34" t="s">
        <v>473</v>
      </c>
      <c r="D460" s="34" t="s">
        <v>474</v>
      </c>
      <c r="E460" s="34"/>
      <c r="F460" s="34" t="s">
        <v>157</v>
      </c>
      <c r="G460" s="34"/>
      <c r="H460" s="34" t="s">
        <v>151</v>
      </c>
      <c r="I460" s="34" t="s">
        <v>993</v>
      </c>
      <c r="J460" s="35" t="s">
        <v>159</v>
      </c>
      <c r="K460" s="35"/>
    </row>
    <row r="461" spans="1:11" ht="34.5">
      <c r="A461" s="33" t="s">
        <v>117</v>
      </c>
      <c r="B461" s="34" t="s">
        <v>476</v>
      </c>
      <c r="C461" s="34" t="s">
        <v>477</v>
      </c>
      <c r="D461" s="34" t="s">
        <v>478</v>
      </c>
      <c r="E461" s="34" t="s">
        <v>479</v>
      </c>
      <c r="F461" s="34" t="s">
        <v>175</v>
      </c>
      <c r="G461" s="34"/>
      <c r="H461" s="34" t="s">
        <v>151</v>
      </c>
      <c r="I461" s="34" t="s">
        <v>23</v>
      </c>
      <c r="J461" s="35" t="s">
        <v>177</v>
      </c>
      <c r="K461" s="35" t="s">
        <v>480</v>
      </c>
    </row>
    <row r="462" spans="1:11" ht="24" customHeight="1">
      <c r="A462" s="33" t="s">
        <v>117</v>
      </c>
      <c r="B462" s="34" t="s">
        <v>481</v>
      </c>
      <c r="C462" s="34" t="s">
        <v>482</v>
      </c>
      <c r="D462" s="34" t="s">
        <v>483</v>
      </c>
      <c r="E462" s="34"/>
      <c r="F462" s="34" t="s">
        <v>157</v>
      </c>
      <c r="G462" s="34"/>
      <c r="H462" s="34" t="s">
        <v>151</v>
      </c>
      <c r="I462" s="34" t="s">
        <v>993</v>
      </c>
      <c r="J462" s="35" t="s">
        <v>159</v>
      </c>
      <c r="K462" s="35"/>
    </row>
    <row r="463" spans="1:11" ht="24" customHeight="1">
      <c r="A463" s="33" t="s">
        <v>117</v>
      </c>
      <c r="B463" s="34" t="s">
        <v>484</v>
      </c>
      <c r="C463" s="34" t="s">
        <v>485</v>
      </c>
      <c r="D463" s="34" t="s">
        <v>486</v>
      </c>
      <c r="E463" s="34" t="s">
        <v>487</v>
      </c>
      <c r="F463" s="34" t="s">
        <v>488</v>
      </c>
      <c r="G463" s="34"/>
      <c r="H463" s="34" t="s">
        <v>151</v>
      </c>
      <c r="I463" s="34" t="s">
        <v>994</v>
      </c>
      <c r="J463" s="35" t="s">
        <v>490</v>
      </c>
      <c r="K463" s="35" t="s">
        <v>491</v>
      </c>
    </row>
    <row r="464" spans="1:11" ht="24" customHeight="1">
      <c r="A464" s="33" t="s">
        <v>117</v>
      </c>
      <c r="B464" s="34" t="s">
        <v>492</v>
      </c>
      <c r="C464" s="34" t="s">
        <v>493</v>
      </c>
      <c r="D464" s="34" t="s">
        <v>494</v>
      </c>
      <c r="E464" s="34"/>
      <c r="F464" s="34" t="s">
        <v>397</v>
      </c>
      <c r="G464" s="34"/>
      <c r="H464" s="34" t="s">
        <v>151</v>
      </c>
      <c r="I464" s="34" t="s">
        <v>995</v>
      </c>
      <c r="J464" s="35" t="s">
        <v>399</v>
      </c>
      <c r="K464" s="35"/>
    </row>
    <row r="465" spans="1:11" ht="34.5">
      <c r="A465" s="33" t="s">
        <v>117</v>
      </c>
      <c r="B465" s="34" t="s">
        <v>496</v>
      </c>
      <c r="C465" s="34" t="s">
        <v>497</v>
      </c>
      <c r="D465" s="34" t="s">
        <v>498</v>
      </c>
      <c r="E465" s="34" t="s">
        <v>499</v>
      </c>
      <c r="F465" s="34" t="s">
        <v>187</v>
      </c>
      <c r="G465" s="34"/>
      <c r="H465" s="34" t="s">
        <v>151</v>
      </c>
      <c r="I465" s="34" t="s">
        <v>500</v>
      </c>
      <c r="J465" s="35" t="s">
        <v>189</v>
      </c>
      <c r="K465" s="35" t="s">
        <v>501</v>
      </c>
    </row>
    <row r="466" spans="1:11" ht="24" customHeight="1">
      <c r="A466" s="33" t="s">
        <v>117</v>
      </c>
      <c r="B466" s="34" t="s">
        <v>502</v>
      </c>
      <c r="C466" s="34" t="s">
        <v>503</v>
      </c>
      <c r="D466" s="34" t="s">
        <v>504</v>
      </c>
      <c r="E466" s="34"/>
      <c r="F466" s="34" t="s">
        <v>505</v>
      </c>
      <c r="G466" s="34"/>
      <c r="H466" s="34" t="s">
        <v>151</v>
      </c>
      <c r="I466" s="34" t="s">
        <v>506</v>
      </c>
      <c r="J466" s="35" t="s">
        <v>507</v>
      </c>
      <c r="K466" s="35"/>
    </row>
    <row r="467" spans="1:11" ht="34.5">
      <c r="A467" s="33" t="s">
        <v>117</v>
      </c>
      <c r="B467" s="34" t="s">
        <v>508</v>
      </c>
      <c r="C467" s="34" t="s">
        <v>509</v>
      </c>
      <c r="D467" s="34" t="s">
        <v>510</v>
      </c>
      <c r="E467" s="34" t="s">
        <v>511</v>
      </c>
      <c r="F467" s="34" t="s">
        <v>187</v>
      </c>
      <c r="G467" s="34"/>
      <c r="H467" s="34" t="s">
        <v>151</v>
      </c>
      <c r="I467" s="34" t="s">
        <v>500</v>
      </c>
      <c r="J467" s="35" t="s">
        <v>189</v>
      </c>
      <c r="K467" s="35" t="s">
        <v>512</v>
      </c>
    </row>
    <row r="468" spans="1:11" ht="24" customHeight="1">
      <c r="A468" s="33" t="s">
        <v>117</v>
      </c>
      <c r="B468" s="34" t="s">
        <v>513</v>
      </c>
      <c r="C468" s="34" t="s">
        <v>514</v>
      </c>
      <c r="D468" s="34" t="s">
        <v>515</v>
      </c>
      <c r="E468" s="34"/>
      <c r="F468" s="34" t="s">
        <v>505</v>
      </c>
      <c r="G468" s="34"/>
      <c r="H468" s="34" t="s">
        <v>151</v>
      </c>
      <c r="I468" s="34" t="s">
        <v>506</v>
      </c>
      <c r="J468" s="35" t="s">
        <v>507</v>
      </c>
      <c r="K468" s="35"/>
    </row>
    <row r="469" spans="1:11" ht="57.6">
      <c r="A469" s="33" t="s">
        <v>117</v>
      </c>
      <c r="B469" s="34" t="s">
        <v>516</v>
      </c>
      <c r="C469" s="34" t="s">
        <v>517</v>
      </c>
      <c r="D469" s="34" t="s">
        <v>518</v>
      </c>
      <c r="E469" s="34" t="s">
        <v>519</v>
      </c>
      <c r="F469" s="34" t="s">
        <v>273</v>
      </c>
      <c r="G469" s="34"/>
      <c r="H469" s="34" t="s">
        <v>151</v>
      </c>
      <c r="I469" s="34" t="s">
        <v>996</v>
      </c>
      <c r="J469" s="35" t="s">
        <v>275</v>
      </c>
      <c r="K469" s="35" t="s">
        <v>521</v>
      </c>
    </row>
    <row r="470" spans="1:11" ht="24" customHeight="1">
      <c r="A470" s="33" t="s">
        <v>117</v>
      </c>
      <c r="B470" s="34" t="s">
        <v>522</v>
      </c>
      <c r="C470" s="34" t="s">
        <v>523</v>
      </c>
      <c r="D470" s="34" t="s">
        <v>524</v>
      </c>
      <c r="E470" s="34"/>
      <c r="F470" s="34" t="s">
        <v>157</v>
      </c>
      <c r="G470" s="34"/>
      <c r="H470" s="34" t="s">
        <v>151</v>
      </c>
      <c r="I470" s="34" t="s">
        <v>987</v>
      </c>
      <c r="J470" s="35" t="s">
        <v>159</v>
      </c>
      <c r="K470" s="35"/>
    </row>
    <row r="471" spans="1:11" ht="92.1">
      <c r="A471" s="33" t="s">
        <v>117</v>
      </c>
      <c r="B471" s="34" t="s">
        <v>538</v>
      </c>
      <c r="C471" s="34" t="s">
        <v>538</v>
      </c>
      <c r="D471" s="34" t="s">
        <v>539</v>
      </c>
      <c r="E471" s="34" t="s">
        <v>540</v>
      </c>
      <c r="F471" s="34" t="s">
        <v>187</v>
      </c>
      <c r="G471" s="34"/>
      <c r="H471" s="34" t="s">
        <v>151</v>
      </c>
      <c r="I471" s="34" t="s">
        <v>997</v>
      </c>
      <c r="J471" s="35" t="s">
        <v>189</v>
      </c>
      <c r="K471" s="35" t="s">
        <v>542</v>
      </c>
    </row>
    <row r="472" spans="1:11" ht="24" customHeight="1">
      <c r="A472" s="33" t="s">
        <v>117</v>
      </c>
      <c r="B472" s="34" t="s">
        <v>543</v>
      </c>
      <c r="C472" s="34" t="s">
        <v>543</v>
      </c>
      <c r="D472" s="34" t="s">
        <v>544</v>
      </c>
      <c r="E472" s="34"/>
      <c r="F472" s="34" t="s">
        <v>545</v>
      </c>
      <c r="G472" s="34"/>
      <c r="H472" s="34" t="s">
        <v>151</v>
      </c>
      <c r="I472" s="34" t="s">
        <v>916</v>
      </c>
      <c r="J472" s="35" t="s">
        <v>546</v>
      </c>
      <c r="K472" s="35"/>
    </row>
    <row r="473" spans="1:11" ht="45.95">
      <c r="A473" s="33" t="s">
        <v>117</v>
      </c>
      <c r="B473" s="34" t="s">
        <v>557</v>
      </c>
      <c r="C473" s="34" t="s">
        <v>558</v>
      </c>
      <c r="D473" s="34" t="s">
        <v>559</v>
      </c>
      <c r="E473" s="34" t="s">
        <v>560</v>
      </c>
      <c r="F473" s="34" t="s">
        <v>290</v>
      </c>
      <c r="G473" s="34"/>
      <c r="H473" s="34" t="s">
        <v>151</v>
      </c>
      <c r="I473" s="34">
        <v>11226375</v>
      </c>
      <c r="J473" s="35" t="s">
        <v>292</v>
      </c>
      <c r="K473" s="35" t="s">
        <v>561</v>
      </c>
    </row>
    <row r="474" spans="1:11" ht="24" customHeight="1">
      <c r="A474" s="33" t="s">
        <v>117</v>
      </c>
      <c r="B474" s="34" t="s">
        <v>562</v>
      </c>
      <c r="C474" s="34" t="s">
        <v>563</v>
      </c>
      <c r="D474" s="34" t="s">
        <v>564</v>
      </c>
      <c r="E474" s="34"/>
      <c r="F474" s="34" t="s">
        <v>335</v>
      </c>
      <c r="G474" s="34"/>
      <c r="H474" s="34" t="s">
        <v>151</v>
      </c>
      <c r="I474" s="34" t="s">
        <v>998</v>
      </c>
      <c r="J474" s="35" t="s">
        <v>337</v>
      </c>
      <c r="K474" s="35"/>
    </row>
    <row r="475" spans="1:11" ht="24" customHeight="1">
      <c r="A475" s="33" t="s">
        <v>117</v>
      </c>
      <c r="B475" s="34" t="s">
        <v>566</v>
      </c>
      <c r="C475" s="34" t="s">
        <v>567</v>
      </c>
      <c r="D475" s="34" t="s">
        <v>568</v>
      </c>
      <c r="E475" s="34" t="s">
        <v>569</v>
      </c>
      <c r="F475" s="34" t="s">
        <v>273</v>
      </c>
      <c r="G475" s="34"/>
      <c r="H475" s="34" t="s">
        <v>151</v>
      </c>
      <c r="I475" s="34" t="s">
        <v>999</v>
      </c>
      <c r="J475" s="35" t="s">
        <v>275</v>
      </c>
      <c r="K475" s="35" t="s">
        <v>571</v>
      </c>
    </row>
    <row r="476" spans="1:11" ht="24" customHeight="1">
      <c r="A476" s="33" t="s">
        <v>117</v>
      </c>
      <c r="B476" s="34" t="s">
        <v>572</v>
      </c>
      <c r="C476" s="34" t="s">
        <v>573</v>
      </c>
      <c r="D476" s="34" t="s">
        <v>574</v>
      </c>
      <c r="E476" s="34"/>
      <c r="F476" s="34" t="s">
        <v>157</v>
      </c>
      <c r="G476" s="34"/>
      <c r="H476" s="34" t="s">
        <v>151</v>
      </c>
      <c r="I476" s="34" t="s">
        <v>1000</v>
      </c>
      <c r="J476" s="35" t="s">
        <v>159</v>
      </c>
      <c r="K476" s="35"/>
    </row>
    <row r="477" spans="1:11" ht="45.95">
      <c r="A477" s="33" t="s">
        <v>117</v>
      </c>
      <c r="B477" s="34" t="s">
        <v>576</v>
      </c>
      <c r="C477" s="34" t="s">
        <v>577</v>
      </c>
      <c r="D477" s="34" t="s">
        <v>578</v>
      </c>
      <c r="E477" s="34" t="s">
        <v>579</v>
      </c>
      <c r="F477" s="34" t="s">
        <v>290</v>
      </c>
      <c r="G477" s="34"/>
      <c r="H477" s="34" t="s">
        <v>151</v>
      </c>
      <c r="I477" s="34">
        <v>11226375</v>
      </c>
      <c r="J477" s="35" t="s">
        <v>292</v>
      </c>
      <c r="K477" s="35" t="s">
        <v>580</v>
      </c>
    </row>
    <row r="478" spans="1:11" ht="24" customHeight="1">
      <c r="A478" s="33" t="s">
        <v>117</v>
      </c>
      <c r="B478" s="34" t="s">
        <v>581</v>
      </c>
      <c r="C478" s="34" t="s">
        <v>582</v>
      </c>
      <c r="D478" s="34" t="s">
        <v>583</v>
      </c>
      <c r="E478" s="34"/>
      <c r="F478" s="34" t="s">
        <v>335</v>
      </c>
      <c r="G478" s="34"/>
      <c r="H478" s="34" t="s">
        <v>151</v>
      </c>
      <c r="I478" s="34" t="s">
        <v>998</v>
      </c>
      <c r="J478" s="35" t="s">
        <v>337</v>
      </c>
      <c r="K478" s="35"/>
    </row>
    <row r="479" spans="1:11" ht="24" customHeight="1">
      <c r="A479" s="33" t="s">
        <v>117</v>
      </c>
      <c r="B479" s="34" t="s">
        <v>584</v>
      </c>
      <c r="C479" s="34" t="s">
        <v>585</v>
      </c>
      <c r="D479" s="34" t="s">
        <v>586</v>
      </c>
      <c r="E479" s="34" t="s">
        <v>587</v>
      </c>
      <c r="F479" s="34" t="s">
        <v>273</v>
      </c>
      <c r="G479" s="34"/>
      <c r="H479" s="34" t="s">
        <v>151</v>
      </c>
      <c r="I479" s="34" t="s">
        <v>999</v>
      </c>
      <c r="J479" s="35" t="s">
        <v>275</v>
      </c>
      <c r="K479" s="35" t="s">
        <v>589</v>
      </c>
    </row>
    <row r="480" spans="1:11" ht="24" customHeight="1">
      <c r="A480" s="33" t="s">
        <v>117</v>
      </c>
      <c r="B480" s="34" t="s">
        <v>590</v>
      </c>
      <c r="C480" s="34" t="s">
        <v>591</v>
      </c>
      <c r="D480" s="34" t="s">
        <v>592</v>
      </c>
      <c r="E480" s="34"/>
      <c r="F480" s="34" t="s">
        <v>157</v>
      </c>
      <c r="G480" s="34"/>
      <c r="H480" s="34" t="s">
        <v>151</v>
      </c>
      <c r="I480" s="34" t="s">
        <v>1000</v>
      </c>
      <c r="J480" s="35" t="s">
        <v>159</v>
      </c>
      <c r="K480" s="35"/>
    </row>
    <row r="481" spans="1:11" ht="24" customHeight="1">
      <c r="A481" s="33" t="s">
        <v>117</v>
      </c>
      <c r="B481" s="34" t="s">
        <v>593</v>
      </c>
      <c r="C481" s="34" t="s">
        <v>594</v>
      </c>
      <c r="D481" s="34" t="s">
        <v>595</v>
      </c>
      <c r="E481" s="34" t="s">
        <v>596</v>
      </c>
      <c r="F481" s="34" t="s">
        <v>223</v>
      </c>
      <c r="G481" s="34"/>
      <c r="H481" s="34" t="s">
        <v>151</v>
      </c>
      <c r="I481" s="34" t="s">
        <v>597</v>
      </c>
      <c r="J481" s="35" t="s">
        <v>225</v>
      </c>
      <c r="K481" s="35" t="s">
        <v>598</v>
      </c>
    </row>
    <row r="482" spans="1:11" ht="24" customHeight="1">
      <c r="A482" s="33" t="s">
        <v>117</v>
      </c>
      <c r="B482" s="34" t="s">
        <v>599</v>
      </c>
      <c r="C482" s="34" t="s">
        <v>600</v>
      </c>
      <c r="D482" s="34" t="s">
        <v>601</v>
      </c>
      <c r="E482" s="34"/>
      <c r="F482" s="34" t="s">
        <v>157</v>
      </c>
      <c r="G482" s="34"/>
      <c r="H482" s="34" t="s">
        <v>151</v>
      </c>
      <c r="I482" s="34" t="s">
        <v>602</v>
      </c>
      <c r="J482" s="35" t="s">
        <v>159</v>
      </c>
      <c r="K482" s="35"/>
    </row>
    <row r="483" spans="1:11" ht="24" customHeight="1">
      <c r="A483" s="33" t="s">
        <v>117</v>
      </c>
      <c r="B483" s="34" t="s">
        <v>603</v>
      </c>
      <c r="C483" s="34" t="s">
        <v>604</v>
      </c>
      <c r="D483" s="34" t="s">
        <v>605</v>
      </c>
      <c r="E483" s="34" t="s">
        <v>606</v>
      </c>
      <c r="F483" s="34" t="s">
        <v>223</v>
      </c>
      <c r="G483" s="34"/>
      <c r="H483" s="34" t="s">
        <v>151</v>
      </c>
      <c r="I483" s="34" t="s">
        <v>597</v>
      </c>
      <c r="J483" s="35" t="s">
        <v>225</v>
      </c>
      <c r="K483" s="35" t="s">
        <v>607</v>
      </c>
    </row>
    <row r="484" spans="1:11" ht="24" customHeight="1">
      <c r="A484" s="33" t="s">
        <v>117</v>
      </c>
      <c r="B484" s="34" t="s">
        <v>608</v>
      </c>
      <c r="C484" s="34" t="s">
        <v>609</v>
      </c>
      <c r="D484" s="34" t="s">
        <v>610</v>
      </c>
      <c r="E484" s="34"/>
      <c r="F484" s="34" t="s">
        <v>157</v>
      </c>
      <c r="G484" s="34"/>
      <c r="H484" s="34" t="s">
        <v>151</v>
      </c>
      <c r="I484" s="34" t="s">
        <v>602</v>
      </c>
      <c r="J484" s="35" t="s">
        <v>159</v>
      </c>
      <c r="K484" s="35"/>
    </row>
    <row r="485" spans="1:11" ht="24" customHeight="1">
      <c r="A485" s="33" t="s">
        <v>117</v>
      </c>
      <c r="B485" s="34" t="s">
        <v>1001</v>
      </c>
      <c r="C485" s="34" t="s">
        <v>1002</v>
      </c>
      <c r="D485" s="34" t="s">
        <v>1003</v>
      </c>
      <c r="E485" s="34" t="s">
        <v>1004</v>
      </c>
      <c r="F485" s="34" t="s">
        <v>403</v>
      </c>
      <c r="G485" s="34"/>
      <c r="H485" s="34" t="s">
        <v>151</v>
      </c>
      <c r="I485" s="34" t="s">
        <v>1005</v>
      </c>
      <c r="J485" s="35" t="s">
        <v>405</v>
      </c>
      <c r="K485" s="35" t="s">
        <v>1006</v>
      </c>
    </row>
    <row r="486" spans="1:11" ht="24" customHeight="1">
      <c r="A486" s="33" t="s">
        <v>117</v>
      </c>
      <c r="B486" s="34" t="s">
        <v>1007</v>
      </c>
      <c r="C486" s="34" t="s">
        <v>1008</v>
      </c>
      <c r="D486" s="34" t="s">
        <v>1009</v>
      </c>
      <c r="E486" s="34" t="s">
        <v>1010</v>
      </c>
      <c r="F486" s="34" t="s">
        <v>403</v>
      </c>
      <c r="G486" s="34"/>
      <c r="H486" s="34" t="s">
        <v>151</v>
      </c>
      <c r="I486" s="34" t="s">
        <v>1005</v>
      </c>
      <c r="J486" s="35" t="s">
        <v>405</v>
      </c>
      <c r="K486" s="35" t="s">
        <v>1011</v>
      </c>
    </row>
    <row r="487" spans="1:11" ht="24" customHeight="1">
      <c r="A487" s="33" t="s">
        <v>117</v>
      </c>
      <c r="B487" s="34" t="s">
        <v>1012</v>
      </c>
      <c r="C487" s="34" t="s">
        <v>1013</v>
      </c>
      <c r="D487" s="34" t="s">
        <v>1014</v>
      </c>
      <c r="E487" s="34" t="s">
        <v>1015</v>
      </c>
      <c r="F487" s="34" t="s">
        <v>959</v>
      </c>
      <c r="G487" s="34"/>
      <c r="H487" s="34" t="s">
        <v>151</v>
      </c>
      <c r="I487" s="34" t="s">
        <v>1016</v>
      </c>
      <c r="J487" s="35" t="s">
        <v>961</v>
      </c>
      <c r="K487" s="35" t="s">
        <v>1017</v>
      </c>
    </row>
    <row r="488" spans="1:11" ht="24" customHeight="1">
      <c r="A488" s="33" t="s">
        <v>117</v>
      </c>
      <c r="B488" s="34" t="s">
        <v>1018</v>
      </c>
      <c r="C488" s="34" t="s">
        <v>1019</v>
      </c>
      <c r="D488" s="34" t="s">
        <v>1020</v>
      </c>
      <c r="E488" s="34"/>
      <c r="F488" s="34" t="s">
        <v>966</v>
      </c>
      <c r="G488" s="34"/>
      <c r="H488" s="34" t="s">
        <v>151</v>
      </c>
      <c r="I488" s="34" t="s">
        <v>967</v>
      </c>
      <c r="J488" s="35" t="s">
        <v>968</v>
      </c>
      <c r="K488" s="35"/>
    </row>
    <row r="489" spans="1:11" ht="34.5">
      <c r="A489" s="33" t="s">
        <v>117</v>
      </c>
      <c r="B489" s="34" t="s">
        <v>1021</v>
      </c>
      <c r="C489" s="34" t="s">
        <v>1022</v>
      </c>
      <c r="D489" s="34" t="s">
        <v>1023</v>
      </c>
      <c r="E489" s="34" t="s">
        <v>1024</v>
      </c>
      <c r="F489" s="34" t="s">
        <v>175</v>
      </c>
      <c r="G489" s="34"/>
      <c r="H489" s="34" t="s">
        <v>151</v>
      </c>
      <c r="I489" s="34" t="s">
        <v>23</v>
      </c>
      <c r="J489" s="35" t="s">
        <v>177</v>
      </c>
      <c r="K489" s="35" t="s">
        <v>1025</v>
      </c>
    </row>
    <row r="490" spans="1:11">
      <c r="A490" s="33" t="s">
        <v>117</v>
      </c>
      <c r="B490" s="34" t="s">
        <v>1026</v>
      </c>
      <c r="C490" s="34" t="s">
        <v>1027</v>
      </c>
      <c r="D490" s="34" t="s">
        <v>1028</v>
      </c>
      <c r="E490" s="34"/>
      <c r="F490" s="34" t="s">
        <v>175</v>
      </c>
      <c r="G490" s="34"/>
      <c r="H490" s="34" t="s">
        <v>151</v>
      </c>
      <c r="I490" s="34" t="s">
        <v>23</v>
      </c>
      <c r="J490" s="35" t="s">
        <v>177</v>
      </c>
      <c r="K490" s="35"/>
    </row>
    <row r="491" spans="1:11" ht="24" customHeight="1">
      <c r="A491" s="33" t="s">
        <v>117</v>
      </c>
      <c r="B491" s="34" t="s">
        <v>1029</v>
      </c>
      <c r="C491" s="34" t="s">
        <v>1030</v>
      </c>
      <c r="D491" s="34" t="s">
        <v>1031</v>
      </c>
      <c r="E491" s="34" t="s">
        <v>1032</v>
      </c>
      <c r="F491" s="34" t="s">
        <v>505</v>
      </c>
      <c r="G491" s="34"/>
      <c r="H491" s="34" t="s">
        <v>151</v>
      </c>
      <c r="I491" s="34" t="s">
        <v>1033</v>
      </c>
      <c r="J491" s="35" t="s">
        <v>507</v>
      </c>
      <c r="K491" s="35" t="s">
        <v>1034</v>
      </c>
    </row>
    <row r="492" spans="1:11" ht="24" customHeight="1">
      <c r="A492" s="33" t="s">
        <v>117</v>
      </c>
      <c r="B492" s="34" t="s">
        <v>1035</v>
      </c>
      <c r="C492" s="34" t="s">
        <v>1036</v>
      </c>
      <c r="D492" s="34" t="s">
        <v>1037</v>
      </c>
      <c r="E492" s="34"/>
      <c r="F492" s="34" t="s">
        <v>397</v>
      </c>
      <c r="G492" s="34"/>
      <c r="H492" s="34" t="s">
        <v>151</v>
      </c>
      <c r="I492" s="34" t="s">
        <v>998</v>
      </c>
      <c r="J492" s="35" t="s">
        <v>399</v>
      </c>
      <c r="K492" s="35"/>
    </row>
    <row r="493" spans="1:11" ht="45.95">
      <c r="A493" s="33" t="s">
        <v>117</v>
      </c>
      <c r="B493" s="34" t="s">
        <v>611</v>
      </c>
      <c r="C493" s="34" t="s">
        <v>612</v>
      </c>
      <c r="D493" s="34" t="s">
        <v>613</v>
      </c>
      <c r="E493" s="34" t="s">
        <v>614</v>
      </c>
      <c r="F493" s="34" t="s">
        <v>290</v>
      </c>
      <c r="G493" s="34"/>
      <c r="H493" s="34" t="s">
        <v>151</v>
      </c>
      <c r="I493" s="34" t="s">
        <v>994</v>
      </c>
      <c r="J493" s="35" t="s">
        <v>292</v>
      </c>
      <c r="K493" s="35" t="s">
        <v>616</v>
      </c>
    </row>
    <row r="494" spans="1:11" ht="24" customHeight="1">
      <c r="A494" s="33" t="s">
        <v>117</v>
      </c>
      <c r="B494" s="34" t="s">
        <v>617</v>
      </c>
      <c r="C494" s="34" t="s">
        <v>618</v>
      </c>
      <c r="D494" s="34" t="s">
        <v>619</v>
      </c>
      <c r="E494" s="34"/>
      <c r="F494" s="34" t="s">
        <v>397</v>
      </c>
      <c r="G494" s="34"/>
      <c r="H494" s="34" t="s">
        <v>151</v>
      </c>
      <c r="I494" s="34" t="s">
        <v>995</v>
      </c>
      <c r="J494" s="35" t="s">
        <v>399</v>
      </c>
      <c r="K494" s="35"/>
    </row>
    <row r="495" spans="1:11" ht="24" customHeight="1">
      <c r="A495" s="33" t="s">
        <v>117</v>
      </c>
      <c r="B495" s="34" t="s">
        <v>1038</v>
      </c>
      <c r="C495" s="34" t="s">
        <v>1039</v>
      </c>
      <c r="D495" s="34" t="s">
        <v>1040</v>
      </c>
      <c r="E495" s="34" t="s">
        <v>1041</v>
      </c>
      <c r="F495" s="34" t="s">
        <v>633</v>
      </c>
      <c r="G495" s="34"/>
      <c r="H495" s="34" t="s">
        <v>151</v>
      </c>
      <c r="I495" s="34" t="s">
        <v>1042</v>
      </c>
      <c r="J495" s="35" t="s">
        <v>1043</v>
      </c>
      <c r="K495" s="35" t="s">
        <v>1044</v>
      </c>
    </row>
    <row r="496" spans="1:11" ht="24" customHeight="1">
      <c r="A496" s="33" t="s">
        <v>117</v>
      </c>
      <c r="B496" s="34" t="s">
        <v>1045</v>
      </c>
      <c r="C496" s="34" t="s">
        <v>1046</v>
      </c>
      <c r="D496" s="34" t="s">
        <v>1047</v>
      </c>
      <c r="E496" s="34" t="s">
        <v>1048</v>
      </c>
      <c r="F496" s="34" t="s">
        <v>633</v>
      </c>
      <c r="G496" s="34"/>
      <c r="H496" s="34" t="s">
        <v>151</v>
      </c>
      <c r="I496" s="34" t="s">
        <v>1049</v>
      </c>
      <c r="J496" s="35" t="s">
        <v>1043</v>
      </c>
      <c r="K496" s="35" t="s">
        <v>1050</v>
      </c>
    </row>
    <row r="497" spans="1:11" ht="24" customHeight="1">
      <c r="A497" s="33" t="s">
        <v>117</v>
      </c>
      <c r="B497" s="34" t="s">
        <v>1051</v>
      </c>
      <c r="C497" s="34" t="s">
        <v>1052</v>
      </c>
      <c r="D497" s="34" t="s">
        <v>1053</v>
      </c>
      <c r="E497" s="34" t="s">
        <v>1054</v>
      </c>
      <c r="F497" s="34" t="s">
        <v>633</v>
      </c>
      <c r="G497" s="34"/>
      <c r="H497" s="34" t="s">
        <v>151</v>
      </c>
      <c r="I497" s="34" t="s">
        <v>1049</v>
      </c>
      <c r="J497" s="35" t="s">
        <v>1043</v>
      </c>
      <c r="K497" s="35" t="s">
        <v>1055</v>
      </c>
    </row>
    <row r="498" spans="1:11" ht="24" customHeight="1">
      <c r="A498" s="33" t="s">
        <v>117</v>
      </c>
      <c r="B498" s="34" t="s">
        <v>1056</v>
      </c>
      <c r="C498" s="34" t="s">
        <v>1057</v>
      </c>
      <c r="D498" s="34" t="s">
        <v>1058</v>
      </c>
      <c r="E498" s="34" t="s">
        <v>1059</v>
      </c>
      <c r="F498" s="34" t="s">
        <v>633</v>
      </c>
      <c r="G498" s="34"/>
      <c r="H498" s="34" t="s">
        <v>151</v>
      </c>
      <c r="I498" s="34" t="s">
        <v>1060</v>
      </c>
      <c r="J498" s="35" t="s">
        <v>1043</v>
      </c>
      <c r="K498" s="35" t="s">
        <v>1061</v>
      </c>
    </row>
    <row r="499" spans="1:11" ht="24" customHeight="1">
      <c r="A499" s="33" t="s">
        <v>117</v>
      </c>
      <c r="B499" s="34" t="s">
        <v>1062</v>
      </c>
      <c r="C499" s="34" t="s">
        <v>1063</v>
      </c>
      <c r="D499" s="34" t="s">
        <v>1064</v>
      </c>
      <c r="E499" s="34" t="s">
        <v>1065</v>
      </c>
      <c r="F499" s="34" t="s">
        <v>633</v>
      </c>
      <c r="G499" s="34"/>
      <c r="H499" s="34" t="s">
        <v>151</v>
      </c>
      <c r="I499" s="34" t="s">
        <v>1066</v>
      </c>
      <c r="J499" s="35" t="s">
        <v>1043</v>
      </c>
      <c r="K499" s="35" t="s">
        <v>1067</v>
      </c>
    </row>
    <row r="500" spans="1:11" ht="24" customHeight="1">
      <c r="A500" s="33" t="s">
        <v>117</v>
      </c>
      <c r="B500" s="34" t="s">
        <v>1068</v>
      </c>
      <c r="C500" s="34" t="s">
        <v>1069</v>
      </c>
      <c r="D500" s="34" t="s">
        <v>1070</v>
      </c>
      <c r="E500" s="34" t="s">
        <v>1071</v>
      </c>
      <c r="F500" s="34" t="s">
        <v>633</v>
      </c>
      <c r="G500" s="34"/>
      <c r="H500" s="34" t="s">
        <v>151</v>
      </c>
      <c r="I500" s="34" t="s">
        <v>1072</v>
      </c>
      <c r="J500" s="35" t="s">
        <v>1043</v>
      </c>
      <c r="K500" s="35" t="s">
        <v>1073</v>
      </c>
    </row>
    <row r="501" spans="1:11" ht="24" customHeight="1">
      <c r="A501" s="33" t="s">
        <v>117</v>
      </c>
      <c r="B501" s="34" t="s">
        <v>1074</v>
      </c>
      <c r="C501" s="34" t="s">
        <v>1075</v>
      </c>
      <c r="D501" s="34" t="s">
        <v>1076</v>
      </c>
      <c r="E501" s="34" t="s">
        <v>1077</v>
      </c>
      <c r="F501" s="34" t="s">
        <v>633</v>
      </c>
      <c r="G501" s="34"/>
      <c r="H501" s="34" t="s">
        <v>151</v>
      </c>
      <c r="I501" s="34" t="s">
        <v>1060</v>
      </c>
      <c r="J501" s="35" t="s">
        <v>1043</v>
      </c>
      <c r="K501" s="35" t="s">
        <v>1078</v>
      </c>
    </row>
    <row r="502" spans="1:11" ht="24" customHeight="1">
      <c r="A502" s="33" t="s">
        <v>117</v>
      </c>
      <c r="B502" s="34" t="s">
        <v>1079</v>
      </c>
      <c r="C502" s="34" t="s">
        <v>1080</v>
      </c>
      <c r="D502" s="34" t="s">
        <v>1081</v>
      </c>
      <c r="E502" s="34" t="s">
        <v>1082</v>
      </c>
      <c r="F502" s="34" t="s">
        <v>633</v>
      </c>
      <c r="G502" s="34"/>
      <c r="H502" s="34" t="s">
        <v>151</v>
      </c>
      <c r="I502" s="34" t="s">
        <v>1042</v>
      </c>
      <c r="J502" s="35" t="s">
        <v>1043</v>
      </c>
      <c r="K502" s="35" t="s">
        <v>1083</v>
      </c>
    </row>
    <row r="503" spans="1:11" ht="24" customHeight="1">
      <c r="A503" s="33" t="s">
        <v>117</v>
      </c>
      <c r="B503" s="34" t="s">
        <v>1084</v>
      </c>
      <c r="C503" s="34" t="s">
        <v>1085</v>
      </c>
      <c r="D503" s="34" t="s">
        <v>1086</v>
      </c>
      <c r="E503" s="34" t="s">
        <v>1087</v>
      </c>
      <c r="F503" s="34" t="s">
        <v>633</v>
      </c>
      <c r="G503" s="34"/>
      <c r="H503" s="34" t="s">
        <v>151</v>
      </c>
      <c r="I503" s="34" t="s">
        <v>1042</v>
      </c>
      <c r="J503" s="35" t="s">
        <v>635</v>
      </c>
      <c r="K503" s="35" t="s">
        <v>1088</v>
      </c>
    </row>
    <row r="504" spans="1:11" ht="24" customHeight="1">
      <c r="A504" s="33" t="s">
        <v>117</v>
      </c>
      <c r="B504" s="34" t="s">
        <v>1089</v>
      </c>
      <c r="C504" s="34" t="s">
        <v>1090</v>
      </c>
      <c r="D504" s="34" t="s">
        <v>1091</v>
      </c>
      <c r="E504" s="34" t="s">
        <v>1092</v>
      </c>
      <c r="F504" s="34" t="s">
        <v>633</v>
      </c>
      <c r="G504" s="34"/>
      <c r="H504" s="34" t="s">
        <v>151</v>
      </c>
      <c r="I504" s="34" t="s">
        <v>1049</v>
      </c>
      <c r="J504" s="35" t="s">
        <v>1043</v>
      </c>
      <c r="K504" s="35" t="s">
        <v>1093</v>
      </c>
    </row>
    <row r="505" spans="1:11" ht="36" customHeight="1">
      <c r="A505" s="33" t="s">
        <v>117</v>
      </c>
      <c r="B505" s="34" t="s">
        <v>1094</v>
      </c>
      <c r="C505" s="34" t="s">
        <v>1095</v>
      </c>
      <c r="D505" s="34" t="s">
        <v>1096</v>
      </c>
      <c r="E505" s="34" t="s">
        <v>1097</v>
      </c>
      <c r="F505" s="34" t="s">
        <v>633</v>
      </c>
      <c r="G505" s="34"/>
      <c r="H505" s="34" t="s">
        <v>151</v>
      </c>
      <c r="I505" s="34" t="s">
        <v>1049</v>
      </c>
      <c r="J505" s="35" t="s">
        <v>1043</v>
      </c>
      <c r="K505" s="35" t="s">
        <v>1098</v>
      </c>
    </row>
    <row r="506" spans="1:11" ht="24" customHeight="1">
      <c r="A506" s="33" t="s">
        <v>117</v>
      </c>
      <c r="B506" s="34" t="s">
        <v>1099</v>
      </c>
      <c r="C506" s="34" t="s">
        <v>1100</v>
      </c>
      <c r="D506" s="34" t="s">
        <v>1101</v>
      </c>
      <c r="E506" s="34" t="s">
        <v>1102</v>
      </c>
      <c r="F506" s="34" t="s">
        <v>633</v>
      </c>
      <c r="G506" s="34"/>
      <c r="H506" s="34" t="s">
        <v>151</v>
      </c>
      <c r="I506" s="34" t="s">
        <v>1103</v>
      </c>
      <c r="J506" s="35" t="s">
        <v>1043</v>
      </c>
      <c r="K506" s="35" t="s">
        <v>1104</v>
      </c>
    </row>
    <row r="507" spans="1:11" ht="24" customHeight="1">
      <c r="A507" s="33" t="s">
        <v>117</v>
      </c>
      <c r="B507" s="34" t="s">
        <v>1105</v>
      </c>
      <c r="C507" s="34" t="s">
        <v>1106</v>
      </c>
      <c r="D507" s="34" t="s">
        <v>1107</v>
      </c>
      <c r="E507" s="34" t="s">
        <v>1108</v>
      </c>
      <c r="F507" s="34" t="s">
        <v>633</v>
      </c>
      <c r="G507" s="34"/>
      <c r="H507" s="34" t="s">
        <v>151</v>
      </c>
      <c r="I507" s="34" t="s">
        <v>1109</v>
      </c>
      <c r="J507" s="35" t="s">
        <v>1043</v>
      </c>
      <c r="K507" s="35" t="s">
        <v>1110</v>
      </c>
    </row>
    <row r="508" spans="1:11" ht="24" customHeight="1">
      <c r="A508" s="33" t="s">
        <v>117</v>
      </c>
      <c r="B508" s="34" t="s">
        <v>1111</v>
      </c>
      <c r="C508" s="34" t="s">
        <v>1112</v>
      </c>
      <c r="D508" s="34" t="s">
        <v>1113</v>
      </c>
      <c r="E508" s="34" t="s">
        <v>1114</v>
      </c>
      <c r="F508" s="34" t="s">
        <v>1115</v>
      </c>
      <c r="G508" s="34"/>
      <c r="H508" s="34" t="s">
        <v>151</v>
      </c>
      <c r="I508" s="34" t="s">
        <v>810</v>
      </c>
      <c r="J508" s="35" t="s">
        <v>1116</v>
      </c>
      <c r="K508" s="35" t="s">
        <v>1117</v>
      </c>
    </row>
    <row r="509" spans="1:11" ht="34.5">
      <c r="A509" s="33" t="s">
        <v>117</v>
      </c>
      <c r="B509" s="34" t="s">
        <v>1118</v>
      </c>
      <c r="C509" s="34" t="s">
        <v>1119</v>
      </c>
      <c r="D509" s="34" t="s">
        <v>1120</v>
      </c>
      <c r="E509" s="34" t="s">
        <v>1121</v>
      </c>
      <c r="F509" s="34" t="s">
        <v>633</v>
      </c>
      <c r="G509" s="34"/>
      <c r="H509" s="34" t="s">
        <v>151</v>
      </c>
      <c r="I509" s="34" t="s">
        <v>1122</v>
      </c>
      <c r="J509" s="35" t="s">
        <v>1043</v>
      </c>
      <c r="K509" s="35" t="s">
        <v>1123</v>
      </c>
    </row>
    <row r="510" spans="1:11" ht="24" customHeight="1">
      <c r="A510" s="33" t="s">
        <v>117</v>
      </c>
      <c r="B510" s="34" t="s">
        <v>1124</v>
      </c>
      <c r="C510" s="34" t="s">
        <v>1125</v>
      </c>
      <c r="D510" s="34" t="s">
        <v>1126</v>
      </c>
      <c r="E510" s="34" t="s">
        <v>1127</v>
      </c>
      <c r="F510" s="34" t="s">
        <v>1128</v>
      </c>
      <c r="G510" s="34"/>
      <c r="H510" s="34" t="s">
        <v>151</v>
      </c>
      <c r="I510" s="34">
        <v>0</v>
      </c>
      <c r="J510" s="35" t="s">
        <v>1129</v>
      </c>
      <c r="K510" s="35" t="s">
        <v>1130</v>
      </c>
    </row>
    <row r="511" spans="1:11" ht="24" customHeight="1">
      <c r="A511" s="33" t="s">
        <v>123</v>
      </c>
      <c r="B511" s="34" t="s">
        <v>911</v>
      </c>
      <c r="C511" s="34" t="s">
        <v>912</v>
      </c>
      <c r="D511" s="34" t="s">
        <v>913</v>
      </c>
      <c r="E511" s="34" t="s">
        <v>914</v>
      </c>
      <c r="F511" s="34" t="s">
        <v>403</v>
      </c>
      <c r="G511" s="34"/>
      <c r="H511" s="34" t="s">
        <v>151</v>
      </c>
      <c r="I511" s="34" t="s">
        <v>1131</v>
      </c>
      <c r="J511" s="35" t="s">
        <v>405</v>
      </c>
      <c r="K511" s="35" t="s">
        <v>915</v>
      </c>
    </row>
    <row r="512" spans="1:11" ht="24" customHeight="1">
      <c r="A512" s="33" t="s">
        <v>123</v>
      </c>
      <c r="B512" s="34" t="s">
        <v>1132</v>
      </c>
      <c r="C512" s="34" t="s">
        <v>1133</v>
      </c>
      <c r="D512" s="34" t="s">
        <v>1132</v>
      </c>
      <c r="E512" s="34" t="s">
        <v>1134</v>
      </c>
      <c r="F512" s="34" t="s">
        <v>984</v>
      </c>
      <c r="G512" s="34"/>
      <c r="H512" s="34" t="s">
        <v>151</v>
      </c>
      <c r="I512" s="34" t="s">
        <v>1135</v>
      </c>
      <c r="J512" s="35" t="s">
        <v>986</v>
      </c>
      <c r="K512" s="35" t="s">
        <v>1136</v>
      </c>
    </row>
    <row r="513" spans="1:11" ht="24" customHeight="1">
      <c r="A513" s="33" t="s">
        <v>123</v>
      </c>
      <c r="B513" s="34" t="s">
        <v>146</v>
      </c>
      <c r="C513" s="34" t="s">
        <v>147</v>
      </c>
      <c r="D513" s="34" t="s">
        <v>148</v>
      </c>
      <c r="E513" s="34" t="s">
        <v>149</v>
      </c>
      <c r="F513" s="34" t="s">
        <v>150</v>
      </c>
      <c r="G513" s="34"/>
      <c r="H513" s="34" t="s">
        <v>151</v>
      </c>
      <c r="I513" s="34">
        <v>70</v>
      </c>
      <c r="J513" s="35" t="s">
        <v>152</v>
      </c>
      <c r="K513" s="35" t="s">
        <v>153</v>
      </c>
    </row>
    <row r="514" spans="1:11" ht="24" customHeight="1">
      <c r="A514" s="33" t="s">
        <v>123</v>
      </c>
      <c r="B514" s="34" t="s">
        <v>154</v>
      </c>
      <c r="C514" s="34" t="s">
        <v>155</v>
      </c>
      <c r="D514" s="34" t="s">
        <v>156</v>
      </c>
      <c r="E514" s="34"/>
      <c r="F514" s="34" t="s">
        <v>157</v>
      </c>
      <c r="G514" s="34"/>
      <c r="H514" s="34" t="s">
        <v>151</v>
      </c>
      <c r="I514" s="34" t="s">
        <v>158</v>
      </c>
      <c r="J514" s="35" t="s">
        <v>159</v>
      </c>
      <c r="K514" s="35"/>
    </row>
    <row r="515" spans="1:11" ht="24" customHeight="1">
      <c r="A515" s="33" t="s">
        <v>123</v>
      </c>
      <c r="B515" s="34" t="s">
        <v>160</v>
      </c>
      <c r="C515" s="34" t="s">
        <v>161</v>
      </c>
      <c r="D515" s="34" t="s">
        <v>162</v>
      </c>
      <c r="E515" s="34" t="s">
        <v>163</v>
      </c>
      <c r="F515" s="34" t="s">
        <v>164</v>
      </c>
      <c r="G515" s="34"/>
      <c r="H515" s="34" t="s">
        <v>151</v>
      </c>
      <c r="I515" s="34">
        <v>1</v>
      </c>
      <c r="J515" s="35" t="s">
        <v>165</v>
      </c>
      <c r="K515" s="35" t="s">
        <v>166</v>
      </c>
    </row>
    <row r="516" spans="1:11" ht="24" customHeight="1">
      <c r="A516" s="33" t="s">
        <v>123</v>
      </c>
      <c r="B516" s="34" t="s">
        <v>167</v>
      </c>
      <c r="C516" s="34" t="s">
        <v>168</v>
      </c>
      <c r="D516" s="34" t="s">
        <v>169</v>
      </c>
      <c r="E516" s="34"/>
      <c r="F516" s="34" t="s">
        <v>157</v>
      </c>
      <c r="G516" s="34"/>
      <c r="H516" s="34" t="s">
        <v>151</v>
      </c>
      <c r="I516" s="34" t="s">
        <v>661</v>
      </c>
      <c r="J516" s="35" t="s">
        <v>159</v>
      </c>
      <c r="K516" s="35"/>
    </row>
    <row r="517" spans="1:11" ht="24" customHeight="1">
      <c r="A517" s="33" t="s">
        <v>123</v>
      </c>
      <c r="B517" s="34" t="s">
        <v>171</v>
      </c>
      <c r="C517" s="34" t="s">
        <v>172</v>
      </c>
      <c r="D517" s="34" t="s">
        <v>173</v>
      </c>
      <c r="E517" s="34" t="s">
        <v>174</v>
      </c>
      <c r="F517" s="34" t="s">
        <v>175</v>
      </c>
      <c r="G517" s="34"/>
      <c r="H517" s="34" t="s">
        <v>151</v>
      </c>
      <c r="I517" s="34" t="s">
        <v>176</v>
      </c>
      <c r="J517" s="35" t="s">
        <v>177</v>
      </c>
      <c r="K517" s="35" t="s">
        <v>178</v>
      </c>
    </row>
    <row r="518" spans="1:11" ht="24" customHeight="1">
      <c r="A518" s="33" t="s">
        <v>123</v>
      </c>
      <c r="B518" s="34" t="s">
        <v>179</v>
      </c>
      <c r="C518" s="34" t="s">
        <v>180</v>
      </c>
      <c r="D518" s="34" t="s">
        <v>181</v>
      </c>
      <c r="E518" s="34"/>
      <c r="F518" s="34" t="s">
        <v>157</v>
      </c>
      <c r="G518" s="34"/>
      <c r="H518" s="34" t="s">
        <v>151</v>
      </c>
      <c r="I518" s="34" t="s">
        <v>182</v>
      </c>
      <c r="J518" s="35" t="s">
        <v>159</v>
      </c>
      <c r="K518" s="35"/>
    </row>
    <row r="519" spans="1:11" ht="24" customHeight="1">
      <c r="A519" s="33" t="s">
        <v>123</v>
      </c>
      <c r="B519" s="34" t="s">
        <v>183</v>
      </c>
      <c r="C519" s="34" t="s">
        <v>184</v>
      </c>
      <c r="D519" s="34" t="s">
        <v>185</v>
      </c>
      <c r="E519" s="34" t="s">
        <v>186</v>
      </c>
      <c r="F519" s="34" t="s">
        <v>187</v>
      </c>
      <c r="G519" s="34"/>
      <c r="H519" s="34" t="s">
        <v>151</v>
      </c>
      <c r="I519" s="34" t="s">
        <v>1137</v>
      </c>
      <c r="J519" s="35" t="s">
        <v>189</v>
      </c>
      <c r="K519" s="35" t="s">
        <v>190</v>
      </c>
    </row>
    <row r="520" spans="1:11" ht="24" customHeight="1">
      <c r="A520" s="33" t="s">
        <v>123</v>
      </c>
      <c r="B520" s="34" t="s">
        <v>191</v>
      </c>
      <c r="C520" s="34" t="s">
        <v>192</v>
      </c>
      <c r="D520" s="34" t="s">
        <v>193</v>
      </c>
      <c r="E520" s="34"/>
      <c r="F520" s="34" t="s">
        <v>194</v>
      </c>
      <c r="G520" s="34"/>
      <c r="H520" s="34" t="s">
        <v>151</v>
      </c>
      <c r="I520" s="34" t="s">
        <v>1138</v>
      </c>
      <c r="J520" s="35" t="s">
        <v>196</v>
      </c>
      <c r="K520" s="35"/>
    </row>
    <row r="521" spans="1:11" ht="34.5">
      <c r="A521" s="33" t="s">
        <v>123</v>
      </c>
      <c r="B521" s="34" t="s">
        <v>197</v>
      </c>
      <c r="C521" s="34" t="s">
        <v>198</v>
      </c>
      <c r="D521" s="34" t="s">
        <v>199</v>
      </c>
      <c r="E521" s="34" t="s">
        <v>200</v>
      </c>
      <c r="F521" s="34" t="s">
        <v>187</v>
      </c>
      <c r="G521" s="34"/>
      <c r="H521" s="34" t="s">
        <v>151</v>
      </c>
      <c r="I521" s="34" t="s">
        <v>1137</v>
      </c>
      <c r="J521" s="35" t="s">
        <v>189</v>
      </c>
      <c r="K521" s="35" t="s">
        <v>201</v>
      </c>
    </row>
    <row r="522" spans="1:11" ht="24" customHeight="1">
      <c r="A522" s="33" t="s">
        <v>123</v>
      </c>
      <c r="B522" s="34" t="s">
        <v>202</v>
      </c>
      <c r="C522" s="34" t="s">
        <v>203</v>
      </c>
      <c r="D522" s="34" t="s">
        <v>204</v>
      </c>
      <c r="E522" s="34"/>
      <c r="F522" s="34" t="s">
        <v>205</v>
      </c>
      <c r="G522" s="34"/>
      <c r="H522" s="34" t="s">
        <v>151</v>
      </c>
      <c r="I522" s="34" t="s">
        <v>1138</v>
      </c>
      <c r="J522" s="35" t="s">
        <v>206</v>
      </c>
      <c r="K522" s="35"/>
    </row>
    <row r="523" spans="1:11" ht="24" customHeight="1">
      <c r="A523" s="33" t="s">
        <v>123</v>
      </c>
      <c r="B523" s="34" t="s">
        <v>1139</v>
      </c>
      <c r="C523" s="34" t="s">
        <v>1140</v>
      </c>
      <c r="D523" s="34" t="s">
        <v>1141</v>
      </c>
      <c r="E523" s="34" t="s">
        <v>1142</v>
      </c>
      <c r="F523" s="34" t="s">
        <v>403</v>
      </c>
      <c r="G523" s="34"/>
      <c r="H523" s="34" t="s">
        <v>151</v>
      </c>
      <c r="I523" s="34" t="s">
        <v>1143</v>
      </c>
      <c r="J523" s="35" t="s">
        <v>405</v>
      </c>
      <c r="K523" s="35" t="s">
        <v>1144</v>
      </c>
    </row>
    <row r="524" spans="1:11" ht="24" customHeight="1">
      <c r="A524" s="33" t="s">
        <v>123</v>
      </c>
      <c r="B524" s="34" t="s">
        <v>207</v>
      </c>
      <c r="C524" s="34" t="s">
        <v>208</v>
      </c>
      <c r="D524" s="34" t="s">
        <v>209</v>
      </c>
      <c r="E524" s="34" t="s">
        <v>210</v>
      </c>
      <c r="F524" s="34" t="s">
        <v>187</v>
      </c>
      <c r="G524" s="34"/>
      <c r="H524" s="34" t="s">
        <v>151</v>
      </c>
      <c r="I524" s="34" t="s">
        <v>1145</v>
      </c>
      <c r="J524" s="35" t="s">
        <v>189</v>
      </c>
      <c r="K524" s="35" t="s">
        <v>212</v>
      </c>
    </row>
    <row r="525" spans="1:11" ht="24" customHeight="1">
      <c r="A525" s="33" t="s">
        <v>123</v>
      </c>
      <c r="B525" s="34" t="s">
        <v>213</v>
      </c>
      <c r="C525" s="34" t="s">
        <v>214</v>
      </c>
      <c r="D525" s="34" t="s">
        <v>215</v>
      </c>
      <c r="E525" s="34"/>
      <c r="F525" s="34" t="s">
        <v>216</v>
      </c>
      <c r="G525" s="34"/>
      <c r="H525" s="34" t="s">
        <v>151</v>
      </c>
      <c r="I525" s="34" t="s">
        <v>1146</v>
      </c>
      <c r="J525" s="35" t="s">
        <v>218</v>
      </c>
      <c r="K525" s="35"/>
    </row>
    <row r="526" spans="1:11" ht="24" customHeight="1">
      <c r="A526" s="33" t="s">
        <v>123</v>
      </c>
      <c r="B526" s="34" t="s">
        <v>219</v>
      </c>
      <c r="C526" s="34" t="s">
        <v>220</v>
      </c>
      <c r="D526" s="34" t="s">
        <v>221</v>
      </c>
      <c r="E526" s="34" t="s">
        <v>222</v>
      </c>
      <c r="F526" s="34" t="s">
        <v>223</v>
      </c>
      <c r="G526" s="34"/>
      <c r="H526" s="34" t="s">
        <v>151</v>
      </c>
      <c r="I526" s="34" t="s">
        <v>1147</v>
      </c>
      <c r="J526" s="35" t="s">
        <v>225</v>
      </c>
      <c r="K526" s="35" t="s">
        <v>226</v>
      </c>
    </row>
    <row r="527" spans="1:11" ht="24" customHeight="1">
      <c r="A527" s="33" t="s">
        <v>123</v>
      </c>
      <c r="B527" s="34" t="s">
        <v>227</v>
      </c>
      <c r="C527" s="34" t="s">
        <v>228</v>
      </c>
      <c r="D527" s="34" t="s">
        <v>229</v>
      </c>
      <c r="E527" s="34"/>
      <c r="F527" s="34" t="s">
        <v>157</v>
      </c>
      <c r="G527" s="34"/>
      <c r="H527" s="34" t="s">
        <v>151</v>
      </c>
      <c r="I527" s="34" t="s">
        <v>1148</v>
      </c>
      <c r="J527" s="35" t="s">
        <v>159</v>
      </c>
      <c r="K527" s="35"/>
    </row>
    <row r="528" spans="1:11" ht="24" customHeight="1">
      <c r="A528" s="33" t="s">
        <v>123</v>
      </c>
      <c r="B528" s="34" t="s">
        <v>231</v>
      </c>
      <c r="C528" s="34" t="s">
        <v>232</v>
      </c>
      <c r="D528" s="34" t="s">
        <v>233</v>
      </c>
      <c r="E528" s="34" t="s">
        <v>234</v>
      </c>
      <c r="F528" s="34" t="s">
        <v>235</v>
      </c>
      <c r="G528" s="34"/>
      <c r="H528" s="34" t="s">
        <v>151</v>
      </c>
      <c r="I528" s="34" t="s">
        <v>1149</v>
      </c>
      <c r="J528" s="35" t="s">
        <v>237</v>
      </c>
      <c r="K528" s="35" t="s">
        <v>238</v>
      </c>
    </row>
    <row r="529" spans="1:11" ht="24" customHeight="1">
      <c r="A529" s="33" t="s">
        <v>123</v>
      </c>
      <c r="B529" s="34" t="s">
        <v>239</v>
      </c>
      <c r="C529" s="34" t="s">
        <v>240</v>
      </c>
      <c r="D529" s="34" t="s">
        <v>241</v>
      </c>
      <c r="E529" s="34"/>
      <c r="F529" s="34" t="s">
        <v>157</v>
      </c>
      <c r="G529" s="34"/>
      <c r="H529" s="34" t="s">
        <v>151</v>
      </c>
      <c r="I529" s="34" t="s">
        <v>1150</v>
      </c>
      <c r="J529" s="35" t="s">
        <v>159</v>
      </c>
      <c r="K529" s="35"/>
    </row>
    <row r="530" spans="1:11" ht="34.5">
      <c r="A530" s="33" t="s">
        <v>123</v>
      </c>
      <c r="B530" s="34" t="s">
        <v>255</v>
      </c>
      <c r="C530" s="34" t="s">
        <v>256</v>
      </c>
      <c r="D530" s="34" t="s">
        <v>257</v>
      </c>
      <c r="E530" s="34" t="s">
        <v>258</v>
      </c>
      <c r="F530" s="34" t="s">
        <v>259</v>
      </c>
      <c r="G530" s="34"/>
      <c r="H530" s="34" t="s">
        <v>151</v>
      </c>
      <c r="I530" s="34" t="s">
        <v>1151</v>
      </c>
      <c r="J530" s="35" t="s">
        <v>261</v>
      </c>
      <c r="K530" s="35" t="s">
        <v>262</v>
      </c>
    </row>
    <row r="531" spans="1:11" ht="24" customHeight="1">
      <c r="A531" s="33" t="s">
        <v>123</v>
      </c>
      <c r="B531" s="34" t="s">
        <v>263</v>
      </c>
      <c r="C531" s="34" t="s">
        <v>264</v>
      </c>
      <c r="D531" s="34" t="s">
        <v>265</v>
      </c>
      <c r="E531" s="34"/>
      <c r="F531" s="34" t="s">
        <v>266</v>
      </c>
      <c r="G531" s="34"/>
      <c r="H531" s="34" t="s">
        <v>151</v>
      </c>
      <c r="I531" s="34" t="s">
        <v>1148</v>
      </c>
      <c r="J531" s="35" t="s">
        <v>268</v>
      </c>
      <c r="K531" s="35"/>
    </row>
    <row r="532" spans="1:11" ht="24" customHeight="1">
      <c r="A532" s="33" t="s">
        <v>123</v>
      </c>
      <c r="B532" s="34" t="s">
        <v>1152</v>
      </c>
      <c r="C532" s="34" t="s">
        <v>1153</v>
      </c>
      <c r="D532" s="34" t="s">
        <v>1154</v>
      </c>
      <c r="E532" s="34" t="s">
        <v>1155</v>
      </c>
      <c r="F532" s="34" t="s">
        <v>403</v>
      </c>
      <c r="G532" s="34"/>
      <c r="H532" s="34" t="s">
        <v>151</v>
      </c>
      <c r="I532" s="34" t="s">
        <v>1156</v>
      </c>
      <c r="J532" s="35" t="s">
        <v>405</v>
      </c>
      <c r="K532" s="35" t="s">
        <v>1157</v>
      </c>
    </row>
    <row r="533" spans="1:11" ht="57.6">
      <c r="A533" s="33" t="s">
        <v>123</v>
      </c>
      <c r="B533" s="34" t="s">
        <v>1158</v>
      </c>
      <c r="C533" s="34" t="s">
        <v>1159</v>
      </c>
      <c r="D533" s="34" t="s">
        <v>1158</v>
      </c>
      <c r="E533" s="34" t="s">
        <v>1160</v>
      </c>
      <c r="F533" s="34" t="s">
        <v>223</v>
      </c>
      <c r="G533" s="34"/>
      <c r="H533" s="34" t="s">
        <v>151</v>
      </c>
      <c r="I533" s="34" t="s">
        <v>1161</v>
      </c>
      <c r="J533" s="35" t="s">
        <v>225</v>
      </c>
      <c r="K533" s="35" t="s">
        <v>1162</v>
      </c>
    </row>
    <row r="534" spans="1:11" ht="24" customHeight="1">
      <c r="A534" s="33" t="s">
        <v>123</v>
      </c>
      <c r="B534" s="34" t="s">
        <v>1163</v>
      </c>
      <c r="C534" s="34" t="s">
        <v>1164</v>
      </c>
      <c r="D534" s="34" t="s">
        <v>1165</v>
      </c>
      <c r="E534" s="34"/>
      <c r="F534" s="34" t="s">
        <v>194</v>
      </c>
      <c r="G534" s="34"/>
      <c r="H534" s="34" t="s">
        <v>151</v>
      </c>
      <c r="I534" s="34" t="s">
        <v>1166</v>
      </c>
      <c r="J534" s="35" t="s">
        <v>196</v>
      </c>
      <c r="K534" s="35"/>
    </row>
    <row r="535" spans="1:11" ht="57.6">
      <c r="A535" s="33" t="s">
        <v>123</v>
      </c>
      <c r="B535" s="34" t="s">
        <v>269</v>
      </c>
      <c r="C535" s="34" t="s">
        <v>270</v>
      </c>
      <c r="D535" s="34" t="s">
        <v>271</v>
      </c>
      <c r="E535" s="34" t="s">
        <v>272</v>
      </c>
      <c r="F535" s="34" t="s">
        <v>273</v>
      </c>
      <c r="G535" s="34"/>
      <c r="H535" s="34" t="s">
        <v>151</v>
      </c>
      <c r="I535" s="34" t="s">
        <v>1167</v>
      </c>
      <c r="J535" s="35" t="s">
        <v>275</v>
      </c>
      <c r="K535" s="35" t="s">
        <v>276</v>
      </c>
    </row>
    <row r="536" spans="1:11" ht="24" customHeight="1">
      <c r="A536" s="33" t="s">
        <v>123</v>
      </c>
      <c r="B536" s="34" t="s">
        <v>277</v>
      </c>
      <c r="C536" s="34" t="s">
        <v>278</v>
      </c>
      <c r="D536" s="34" t="s">
        <v>279</v>
      </c>
      <c r="E536" s="34"/>
      <c r="F536" s="34" t="s">
        <v>157</v>
      </c>
      <c r="G536" s="34"/>
      <c r="H536" s="34" t="s">
        <v>151</v>
      </c>
      <c r="I536" s="34" t="s">
        <v>1168</v>
      </c>
      <c r="J536" s="35" t="s">
        <v>159</v>
      </c>
      <c r="K536" s="35"/>
    </row>
    <row r="537" spans="1:11" ht="24" customHeight="1">
      <c r="A537" s="33" t="s">
        <v>123</v>
      </c>
      <c r="B537" s="34" t="s">
        <v>304</v>
      </c>
      <c r="C537" s="34" t="s">
        <v>305</v>
      </c>
      <c r="D537" s="34" t="s">
        <v>306</v>
      </c>
      <c r="E537" s="34" t="s">
        <v>307</v>
      </c>
      <c r="F537" s="34" t="s">
        <v>223</v>
      </c>
      <c r="G537" s="34"/>
      <c r="H537" s="34" t="s">
        <v>151</v>
      </c>
      <c r="I537" s="34" t="s">
        <v>1169</v>
      </c>
      <c r="J537" s="35" t="s">
        <v>225</v>
      </c>
      <c r="K537" s="35" t="s">
        <v>309</v>
      </c>
    </row>
    <row r="538" spans="1:11" ht="24" customHeight="1">
      <c r="A538" s="33" t="s">
        <v>123</v>
      </c>
      <c r="B538" s="34" t="s">
        <v>310</v>
      </c>
      <c r="C538" s="34" t="s">
        <v>311</v>
      </c>
      <c r="D538" s="34" t="s">
        <v>312</v>
      </c>
      <c r="E538" s="34"/>
      <c r="F538" s="34" t="s">
        <v>313</v>
      </c>
      <c r="G538" s="34"/>
      <c r="H538" s="34" t="s">
        <v>151</v>
      </c>
      <c r="I538" s="34" t="s">
        <v>1170</v>
      </c>
      <c r="J538" s="35" t="s">
        <v>315</v>
      </c>
      <c r="K538" s="35"/>
    </row>
    <row r="539" spans="1:11" ht="23.1">
      <c r="A539" s="33" t="s">
        <v>123</v>
      </c>
      <c r="B539" s="34" t="s">
        <v>674</v>
      </c>
      <c r="C539" s="34" t="s">
        <v>675</v>
      </c>
      <c r="D539" s="34" t="s">
        <v>676</v>
      </c>
      <c r="E539" s="34" t="s">
        <v>677</v>
      </c>
      <c r="F539" s="34" t="s">
        <v>259</v>
      </c>
      <c r="G539" s="34"/>
      <c r="H539" s="34" t="s">
        <v>151</v>
      </c>
      <c r="I539" s="34" t="s">
        <v>1171</v>
      </c>
      <c r="J539" s="35" t="s">
        <v>261</v>
      </c>
      <c r="K539" s="35" t="s">
        <v>678</v>
      </c>
    </row>
    <row r="540" spans="1:11" ht="24" customHeight="1">
      <c r="A540" s="33" t="s">
        <v>123</v>
      </c>
      <c r="B540" s="34" t="s">
        <v>679</v>
      </c>
      <c r="C540" s="34" t="s">
        <v>680</v>
      </c>
      <c r="D540" s="34" t="s">
        <v>681</v>
      </c>
      <c r="E540" s="34"/>
      <c r="F540" s="34" t="s">
        <v>157</v>
      </c>
      <c r="G540" s="34"/>
      <c r="H540" s="34" t="s">
        <v>151</v>
      </c>
      <c r="I540" s="34" t="s">
        <v>1172</v>
      </c>
      <c r="J540" s="35" t="s">
        <v>159</v>
      </c>
      <c r="K540" s="35"/>
    </row>
    <row r="541" spans="1:11" ht="24" customHeight="1">
      <c r="A541" s="33" t="s">
        <v>123</v>
      </c>
      <c r="B541" s="34" t="s">
        <v>316</v>
      </c>
      <c r="C541" s="34" t="s">
        <v>317</v>
      </c>
      <c r="D541" s="34" t="s">
        <v>318</v>
      </c>
      <c r="E541" s="34" t="s">
        <v>319</v>
      </c>
      <c r="F541" s="34" t="s">
        <v>150</v>
      </c>
      <c r="G541" s="34"/>
      <c r="H541" s="34" t="s">
        <v>151</v>
      </c>
      <c r="I541" s="34">
        <v>1</v>
      </c>
      <c r="J541" s="35" t="s">
        <v>320</v>
      </c>
      <c r="K541" s="35" t="s">
        <v>321</v>
      </c>
    </row>
    <row r="542" spans="1:11" ht="24" customHeight="1">
      <c r="A542" s="33" t="s">
        <v>123</v>
      </c>
      <c r="B542" s="34" t="s">
        <v>322</v>
      </c>
      <c r="C542" s="34" t="s">
        <v>323</v>
      </c>
      <c r="D542" s="34" t="s">
        <v>324</v>
      </c>
      <c r="E542" s="34"/>
      <c r="F542" s="34" t="s">
        <v>157</v>
      </c>
      <c r="G542" s="34"/>
      <c r="H542" s="34" t="s">
        <v>151</v>
      </c>
      <c r="I542" s="34" t="s">
        <v>325</v>
      </c>
      <c r="J542" s="35" t="s">
        <v>159</v>
      </c>
      <c r="K542" s="35"/>
    </row>
    <row r="543" spans="1:11" ht="24" customHeight="1">
      <c r="A543" s="33" t="s">
        <v>123</v>
      </c>
      <c r="B543" s="34" t="s">
        <v>326</v>
      </c>
      <c r="C543" s="34" t="s">
        <v>327</v>
      </c>
      <c r="D543" s="34" t="s">
        <v>328</v>
      </c>
      <c r="E543" s="34" t="s">
        <v>329</v>
      </c>
      <c r="F543" s="34" t="s">
        <v>290</v>
      </c>
      <c r="G543" s="34"/>
      <c r="H543" s="34" t="s">
        <v>151</v>
      </c>
      <c r="I543" s="34" t="s">
        <v>1173</v>
      </c>
      <c r="J543" s="35" t="s">
        <v>292</v>
      </c>
      <c r="K543" s="35" t="s">
        <v>331</v>
      </c>
    </row>
    <row r="544" spans="1:11" ht="24" customHeight="1">
      <c r="A544" s="33" t="s">
        <v>123</v>
      </c>
      <c r="B544" s="34" t="s">
        <v>332</v>
      </c>
      <c r="C544" s="34" t="s">
        <v>333</v>
      </c>
      <c r="D544" s="34" t="s">
        <v>334</v>
      </c>
      <c r="E544" s="34"/>
      <c r="F544" s="34" t="s">
        <v>335</v>
      </c>
      <c r="G544" s="34"/>
      <c r="H544" s="34" t="s">
        <v>151</v>
      </c>
      <c r="I544" s="34" t="s">
        <v>1174</v>
      </c>
      <c r="J544" s="35" t="s">
        <v>337</v>
      </c>
      <c r="K544" s="35"/>
    </row>
    <row r="545" spans="1:11" ht="24" customHeight="1">
      <c r="A545" s="33" t="s">
        <v>123</v>
      </c>
      <c r="B545" s="34" t="s">
        <v>338</v>
      </c>
      <c r="C545" s="34" t="s">
        <v>339</v>
      </c>
      <c r="D545" s="34" t="s">
        <v>340</v>
      </c>
      <c r="E545" s="34" t="s">
        <v>341</v>
      </c>
      <c r="F545" s="34" t="s">
        <v>290</v>
      </c>
      <c r="G545" s="34"/>
      <c r="H545" s="34" t="s">
        <v>151</v>
      </c>
      <c r="I545" s="34">
        <v>3924064</v>
      </c>
      <c r="J545" s="35" t="s">
        <v>292</v>
      </c>
      <c r="K545" s="35" t="s">
        <v>342</v>
      </c>
    </row>
    <row r="546" spans="1:11" ht="24" customHeight="1">
      <c r="A546" s="33" t="s">
        <v>123</v>
      </c>
      <c r="B546" s="34" t="s">
        <v>343</v>
      </c>
      <c r="C546" s="34" t="s">
        <v>344</v>
      </c>
      <c r="D546" s="34" t="s">
        <v>345</v>
      </c>
      <c r="E546" s="34"/>
      <c r="F546" s="34" t="s">
        <v>335</v>
      </c>
      <c r="G546" s="34"/>
      <c r="H546" s="34" t="s">
        <v>151</v>
      </c>
      <c r="I546" s="34" t="s">
        <v>1174</v>
      </c>
      <c r="J546" s="35" t="s">
        <v>337</v>
      </c>
      <c r="K546" s="35"/>
    </row>
    <row r="547" spans="1:11" ht="24" customHeight="1">
      <c r="A547" s="33" t="s">
        <v>123</v>
      </c>
      <c r="B547" s="34" t="s">
        <v>346</v>
      </c>
      <c r="C547" s="34" t="s">
        <v>347</v>
      </c>
      <c r="D547" s="34" t="s">
        <v>348</v>
      </c>
      <c r="E547" s="34" t="s">
        <v>349</v>
      </c>
      <c r="F547" s="34" t="s">
        <v>187</v>
      </c>
      <c r="G547" s="34"/>
      <c r="H547" s="34" t="s">
        <v>151</v>
      </c>
      <c r="I547" s="34">
        <v>70</v>
      </c>
      <c r="J547" s="35" t="s">
        <v>189</v>
      </c>
      <c r="K547" s="35" t="s">
        <v>350</v>
      </c>
    </row>
    <row r="548" spans="1:11" ht="24" customHeight="1">
      <c r="A548" s="33" t="s">
        <v>123</v>
      </c>
      <c r="B548" s="34" t="s">
        <v>351</v>
      </c>
      <c r="C548" s="34" t="s">
        <v>352</v>
      </c>
      <c r="D548" s="34" t="s">
        <v>353</v>
      </c>
      <c r="E548" s="34"/>
      <c r="F548" s="34" t="s">
        <v>290</v>
      </c>
      <c r="G548" s="34"/>
      <c r="H548" s="34" t="s">
        <v>151</v>
      </c>
      <c r="I548" s="34" t="s">
        <v>158</v>
      </c>
      <c r="J548" s="35" t="s">
        <v>292</v>
      </c>
      <c r="K548" s="35"/>
    </row>
    <row r="549" spans="1:11" ht="34.5">
      <c r="A549" s="33" t="s">
        <v>123</v>
      </c>
      <c r="B549" s="34" t="s">
        <v>354</v>
      </c>
      <c r="C549" s="34" t="s">
        <v>355</v>
      </c>
      <c r="D549" s="34" t="s">
        <v>356</v>
      </c>
      <c r="E549" s="34" t="s">
        <v>357</v>
      </c>
      <c r="F549" s="34" t="s">
        <v>223</v>
      </c>
      <c r="G549" s="34"/>
      <c r="H549" s="34" t="s">
        <v>151</v>
      </c>
      <c r="I549" s="34" t="s">
        <v>684</v>
      </c>
      <c r="J549" s="35" t="s">
        <v>225</v>
      </c>
      <c r="K549" s="35" t="s">
        <v>359</v>
      </c>
    </row>
    <row r="550" spans="1:11" ht="24" customHeight="1">
      <c r="A550" s="33" t="s">
        <v>123</v>
      </c>
      <c r="B550" s="34" t="s">
        <v>360</v>
      </c>
      <c r="C550" s="34" t="s">
        <v>361</v>
      </c>
      <c r="D550" s="34" t="s">
        <v>362</v>
      </c>
      <c r="E550" s="34"/>
      <c r="F550" s="34" t="s">
        <v>157</v>
      </c>
      <c r="G550" s="34"/>
      <c r="H550" s="34" t="s">
        <v>151</v>
      </c>
      <c r="I550" s="34" t="s">
        <v>685</v>
      </c>
      <c r="J550" s="35" t="s">
        <v>159</v>
      </c>
      <c r="K550" s="35"/>
    </row>
    <row r="551" spans="1:11" ht="34.5">
      <c r="A551" s="33" t="s">
        <v>123</v>
      </c>
      <c r="B551" s="34" t="s">
        <v>363</v>
      </c>
      <c r="C551" s="34" t="s">
        <v>364</v>
      </c>
      <c r="D551" s="34" t="s">
        <v>365</v>
      </c>
      <c r="E551" s="34" t="s">
        <v>366</v>
      </c>
      <c r="F551" s="34" t="s">
        <v>223</v>
      </c>
      <c r="G551" s="34"/>
      <c r="H551" s="34" t="s">
        <v>151</v>
      </c>
      <c r="I551" s="34">
        <v>515</v>
      </c>
      <c r="J551" s="35" t="s">
        <v>225</v>
      </c>
      <c r="K551" s="35" t="s">
        <v>367</v>
      </c>
    </row>
    <row r="552" spans="1:11" ht="24" customHeight="1">
      <c r="A552" s="33" t="s">
        <v>123</v>
      </c>
      <c r="B552" s="34" t="s">
        <v>368</v>
      </c>
      <c r="C552" s="34" t="s">
        <v>369</v>
      </c>
      <c r="D552" s="34" t="s">
        <v>370</v>
      </c>
      <c r="E552" s="34"/>
      <c r="F552" s="34" t="s">
        <v>157</v>
      </c>
      <c r="G552" s="34"/>
      <c r="H552" s="34" t="s">
        <v>151</v>
      </c>
      <c r="I552" s="34" t="s">
        <v>1175</v>
      </c>
      <c r="J552" s="35" t="s">
        <v>159</v>
      </c>
      <c r="K552" s="35"/>
    </row>
    <row r="553" spans="1:11" ht="34.5">
      <c r="A553" s="33" t="s">
        <v>123</v>
      </c>
      <c r="B553" s="34" t="s">
        <v>371</v>
      </c>
      <c r="C553" s="34" t="s">
        <v>372</v>
      </c>
      <c r="D553" s="34" t="s">
        <v>373</v>
      </c>
      <c r="E553" s="34" t="s">
        <v>374</v>
      </c>
      <c r="F553" s="34" t="s">
        <v>223</v>
      </c>
      <c r="G553" s="34"/>
      <c r="H553" s="34" t="s">
        <v>151</v>
      </c>
      <c r="I553" s="34">
        <v>62</v>
      </c>
      <c r="J553" s="35" t="s">
        <v>225</v>
      </c>
      <c r="K553" s="35" t="s">
        <v>375</v>
      </c>
    </row>
    <row r="554" spans="1:11" ht="24" customHeight="1">
      <c r="A554" s="33" t="s">
        <v>123</v>
      </c>
      <c r="B554" s="34" t="s">
        <v>376</v>
      </c>
      <c r="C554" s="34" t="s">
        <v>377</v>
      </c>
      <c r="D554" s="34" t="s">
        <v>378</v>
      </c>
      <c r="E554" s="34"/>
      <c r="F554" s="34" t="s">
        <v>157</v>
      </c>
      <c r="G554" s="34"/>
      <c r="H554" s="34" t="s">
        <v>151</v>
      </c>
      <c r="I554" s="34" t="s">
        <v>1176</v>
      </c>
      <c r="J554" s="35" t="s">
        <v>159</v>
      </c>
      <c r="K554" s="35"/>
    </row>
    <row r="555" spans="1:11" ht="24" customHeight="1">
      <c r="A555" s="33" t="s">
        <v>123</v>
      </c>
      <c r="B555" s="34" t="s">
        <v>380</v>
      </c>
      <c r="C555" s="34" t="s">
        <v>381</v>
      </c>
      <c r="D555" s="34" t="s">
        <v>382</v>
      </c>
      <c r="E555" s="34" t="s">
        <v>383</v>
      </c>
      <c r="F555" s="34" t="s">
        <v>259</v>
      </c>
      <c r="G555" s="34"/>
      <c r="H555" s="34" t="s">
        <v>151</v>
      </c>
      <c r="I555" s="34" t="s">
        <v>1177</v>
      </c>
      <c r="J555" s="35" t="s">
        <v>261</v>
      </c>
      <c r="K555" s="35" t="s">
        <v>385</v>
      </c>
    </row>
    <row r="556" spans="1:11" ht="24" customHeight="1">
      <c r="A556" s="33" t="s">
        <v>123</v>
      </c>
      <c r="B556" s="34" t="s">
        <v>386</v>
      </c>
      <c r="C556" s="34" t="s">
        <v>387</v>
      </c>
      <c r="D556" s="34" t="s">
        <v>388</v>
      </c>
      <c r="E556" s="34"/>
      <c r="F556" s="34" t="s">
        <v>157</v>
      </c>
      <c r="G556" s="34"/>
      <c r="H556" s="34" t="s">
        <v>151</v>
      </c>
      <c r="I556" s="34" t="s">
        <v>1150</v>
      </c>
      <c r="J556" s="35" t="s">
        <v>159</v>
      </c>
      <c r="K556" s="35"/>
    </row>
    <row r="557" spans="1:11" ht="45.95">
      <c r="A557" s="33" t="s">
        <v>123</v>
      </c>
      <c r="B557" s="34" t="s">
        <v>389</v>
      </c>
      <c r="C557" s="34" t="s">
        <v>390</v>
      </c>
      <c r="D557" s="34" t="s">
        <v>391</v>
      </c>
      <c r="E557" s="34" t="s">
        <v>392</v>
      </c>
      <c r="F557" s="34" t="s">
        <v>290</v>
      </c>
      <c r="G557" s="34"/>
      <c r="H557" s="34" t="s">
        <v>151</v>
      </c>
      <c r="I557" s="34">
        <v>84189341</v>
      </c>
      <c r="J557" s="35" t="s">
        <v>292</v>
      </c>
      <c r="K557" s="35" t="s">
        <v>393</v>
      </c>
    </row>
    <row r="558" spans="1:11" ht="24" customHeight="1">
      <c r="A558" s="33" t="s">
        <v>123</v>
      </c>
      <c r="B558" s="34" t="s">
        <v>394</v>
      </c>
      <c r="C558" s="34" t="s">
        <v>395</v>
      </c>
      <c r="D558" s="34" t="s">
        <v>396</v>
      </c>
      <c r="E558" s="34"/>
      <c r="F558" s="34" t="s">
        <v>397</v>
      </c>
      <c r="G558" s="34"/>
      <c r="H558" s="34" t="s">
        <v>151</v>
      </c>
      <c r="I558" s="34" t="s">
        <v>1178</v>
      </c>
      <c r="J558" s="35" t="s">
        <v>399</v>
      </c>
      <c r="K558" s="35"/>
    </row>
    <row r="559" spans="1:11" ht="24" customHeight="1">
      <c r="A559" s="33" t="s">
        <v>123</v>
      </c>
      <c r="B559" s="34" t="s">
        <v>407</v>
      </c>
      <c r="C559" s="34" t="s">
        <v>408</v>
      </c>
      <c r="D559" s="34" t="s">
        <v>409</v>
      </c>
      <c r="E559" s="34" t="s">
        <v>410</v>
      </c>
      <c r="F559" s="34" t="s">
        <v>235</v>
      </c>
      <c r="G559" s="34"/>
      <c r="H559" s="34" t="s">
        <v>151</v>
      </c>
      <c r="I559" s="34">
        <v>70540</v>
      </c>
      <c r="J559" s="35" t="s">
        <v>237</v>
      </c>
      <c r="K559" s="35" t="s">
        <v>411</v>
      </c>
    </row>
    <row r="560" spans="1:11" ht="24" customHeight="1">
      <c r="A560" s="33" t="s">
        <v>123</v>
      </c>
      <c r="B560" s="34" t="s">
        <v>412</v>
      </c>
      <c r="C560" s="34" t="s">
        <v>413</v>
      </c>
      <c r="D560" s="34" t="s">
        <v>414</v>
      </c>
      <c r="E560" s="34"/>
      <c r="F560" s="34" t="s">
        <v>157</v>
      </c>
      <c r="G560" s="34"/>
      <c r="H560" s="34" t="s">
        <v>151</v>
      </c>
      <c r="I560" s="34" t="s">
        <v>1179</v>
      </c>
      <c r="J560" s="35" t="s">
        <v>159</v>
      </c>
      <c r="K560" s="35"/>
    </row>
    <row r="561" spans="1:11" ht="24" customHeight="1">
      <c r="A561" s="33" t="s">
        <v>123</v>
      </c>
      <c r="B561" s="34" t="s">
        <v>1180</v>
      </c>
      <c r="C561" s="34" t="s">
        <v>1181</v>
      </c>
      <c r="D561" s="34" t="s">
        <v>1182</v>
      </c>
      <c r="E561" s="34" t="s">
        <v>1183</v>
      </c>
      <c r="F561" s="34" t="s">
        <v>403</v>
      </c>
      <c r="G561" s="34"/>
      <c r="H561" s="34" t="s">
        <v>151</v>
      </c>
      <c r="I561" s="34" t="s">
        <v>1184</v>
      </c>
      <c r="J561" s="35" t="s">
        <v>405</v>
      </c>
      <c r="K561" s="35" t="s">
        <v>1185</v>
      </c>
    </row>
    <row r="562" spans="1:11" ht="45.95">
      <c r="A562" s="33" t="s">
        <v>123</v>
      </c>
      <c r="B562" s="34" t="s">
        <v>416</v>
      </c>
      <c r="C562" s="34" t="s">
        <v>417</v>
      </c>
      <c r="D562" s="34" t="s">
        <v>416</v>
      </c>
      <c r="E562" s="34" t="s">
        <v>418</v>
      </c>
      <c r="F562" s="34" t="s">
        <v>259</v>
      </c>
      <c r="G562" s="34"/>
      <c r="H562" s="34" t="s">
        <v>151</v>
      </c>
      <c r="I562" s="34" t="s">
        <v>1186</v>
      </c>
      <c r="J562" s="35" t="s">
        <v>261</v>
      </c>
      <c r="K562" s="35" t="s">
        <v>420</v>
      </c>
    </row>
    <row r="563" spans="1:11" ht="24" customHeight="1">
      <c r="A563" s="33" t="s">
        <v>123</v>
      </c>
      <c r="B563" s="34" t="s">
        <v>421</v>
      </c>
      <c r="C563" s="34" t="s">
        <v>422</v>
      </c>
      <c r="D563" s="34" t="s">
        <v>423</v>
      </c>
      <c r="E563" s="34"/>
      <c r="F563" s="34" t="s">
        <v>157</v>
      </c>
      <c r="G563" s="34"/>
      <c r="H563" s="34" t="s">
        <v>151</v>
      </c>
      <c r="I563" s="34" t="s">
        <v>1187</v>
      </c>
      <c r="J563" s="35" t="s">
        <v>159</v>
      </c>
      <c r="K563" s="35"/>
    </row>
    <row r="564" spans="1:11" ht="24" customHeight="1">
      <c r="A564" s="33" t="s">
        <v>123</v>
      </c>
      <c r="B564" s="34" t="s">
        <v>430</v>
      </c>
      <c r="C564" s="34" t="s">
        <v>431</v>
      </c>
      <c r="D564" s="34" t="s">
        <v>432</v>
      </c>
      <c r="E564" s="34" t="s">
        <v>433</v>
      </c>
      <c r="F564" s="34" t="s">
        <v>187</v>
      </c>
      <c r="G564" s="34"/>
      <c r="H564" s="34" t="s">
        <v>151</v>
      </c>
      <c r="I564" s="34">
        <v>70</v>
      </c>
      <c r="J564" s="35" t="s">
        <v>189</v>
      </c>
      <c r="K564" s="35" t="s">
        <v>434</v>
      </c>
    </row>
    <row r="565" spans="1:11" ht="24" customHeight="1">
      <c r="A565" s="33" t="s">
        <v>123</v>
      </c>
      <c r="B565" s="34" t="s">
        <v>435</v>
      </c>
      <c r="C565" s="34" t="s">
        <v>436</v>
      </c>
      <c r="D565" s="34" t="s">
        <v>437</v>
      </c>
      <c r="E565" s="34"/>
      <c r="F565" s="34" t="s">
        <v>205</v>
      </c>
      <c r="G565" s="34"/>
      <c r="H565" s="34" t="s">
        <v>151</v>
      </c>
      <c r="I565" s="34" t="s">
        <v>158</v>
      </c>
      <c r="J565" s="35" t="s">
        <v>206</v>
      </c>
      <c r="K565" s="35"/>
    </row>
    <row r="566" spans="1:11" ht="24" customHeight="1">
      <c r="A566" s="33" t="s">
        <v>123</v>
      </c>
      <c r="B566" s="34" t="s">
        <v>438</v>
      </c>
      <c r="C566" s="34" t="s">
        <v>439</v>
      </c>
      <c r="D566" s="34" t="s">
        <v>440</v>
      </c>
      <c r="E566" s="34" t="s">
        <v>441</v>
      </c>
      <c r="F566" s="34" t="s">
        <v>187</v>
      </c>
      <c r="G566" s="34"/>
      <c r="H566" s="34" t="s">
        <v>151</v>
      </c>
      <c r="I566" s="34">
        <v>6</v>
      </c>
      <c r="J566" s="35" t="s">
        <v>189</v>
      </c>
      <c r="K566" s="35" t="s">
        <v>442</v>
      </c>
    </row>
    <row r="567" spans="1:11" ht="24" customHeight="1">
      <c r="A567" s="33" t="s">
        <v>123</v>
      </c>
      <c r="B567" s="34" t="s">
        <v>443</v>
      </c>
      <c r="C567" s="34" t="s">
        <v>444</v>
      </c>
      <c r="D567" s="34" t="s">
        <v>445</v>
      </c>
      <c r="E567" s="34"/>
      <c r="F567" s="34" t="s">
        <v>157</v>
      </c>
      <c r="G567" s="34"/>
      <c r="H567" s="34" t="s">
        <v>151</v>
      </c>
      <c r="I567" s="34" t="s">
        <v>1188</v>
      </c>
      <c r="J567" s="35" t="s">
        <v>159</v>
      </c>
      <c r="K567" s="35"/>
    </row>
    <row r="568" spans="1:11" ht="24" customHeight="1">
      <c r="A568" s="33" t="s">
        <v>123</v>
      </c>
      <c r="B568" s="34" t="s">
        <v>447</v>
      </c>
      <c r="C568" s="34" t="s">
        <v>448</v>
      </c>
      <c r="D568" s="34" t="s">
        <v>449</v>
      </c>
      <c r="E568" s="34" t="s">
        <v>450</v>
      </c>
      <c r="F568" s="34" t="s">
        <v>223</v>
      </c>
      <c r="G568" s="34"/>
      <c r="H568" s="34" t="s">
        <v>151</v>
      </c>
      <c r="I568" s="34" t="s">
        <v>1189</v>
      </c>
      <c r="J568" s="35" t="s">
        <v>225</v>
      </c>
      <c r="K568" s="35" t="s">
        <v>452</v>
      </c>
    </row>
    <row r="569" spans="1:11" ht="24" customHeight="1">
      <c r="A569" s="33" t="s">
        <v>123</v>
      </c>
      <c r="B569" s="34" t="s">
        <v>453</v>
      </c>
      <c r="C569" s="34" t="s">
        <v>454</v>
      </c>
      <c r="D569" s="34" t="s">
        <v>455</v>
      </c>
      <c r="E569" s="34"/>
      <c r="F569" s="34" t="s">
        <v>157</v>
      </c>
      <c r="G569" s="34"/>
      <c r="H569" s="34" t="s">
        <v>151</v>
      </c>
      <c r="I569" s="34" t="s">
        <v>1190</v>
      </c>
      <c r="J569" s="35" t="s">
        <v>159</v>
      </c>
      <c r="K569" s="35"/>
    </row>
    <row r="570" spans="1:11" ht="23.1">
      <c r="A570" s="33" t="s">
        <v>123</v>
      </c>
      <c r="B570" s="34" t="s">
        <v>457</v>
      </c>
      <c r="C570" s="34" t="s">
        <v>458</v>
      </c>
      <c r="D570" s="34" t="s">
        <v>459</v>
      </c>
      <c r="E570" s="34" t="s">
        <v>460</v>
      </c>
      <c r="F570" s="34" t="s">
        <v>223</v>
      </c>
      <c r="G570" s="34"/>
      <c r="H570" s="34" t="s">
        <v>151</v>
      </c>
      <c r="I570" s="34" t="s">
        <v>1191</v>
      </c>
      <c r="J570" s="35" t="s">
        <v>225</v>
      </c>
      <c r="K570" s="35" t="s">
        <v>462</v>
      </c>
    </row>
    <row r="571" spans="1:11" ht="24" customHeight="1">
      <c r="A571" s="33" t="s">
        <v>123</v>
      </c>
      <c r="B571" s="34" t="s">
        <v>463</v>
      </c>
      <c r="C571" s="34" t="s">
        <v>464</v>
      </c>
      <c r="D571" s="34" t="s">
        <v>465</v>
      </c>
      <c r="E571" s="34"/>
      <c r="F571" s="34" t="s">
        <v>157</v>
      </c>
      <c r="G571" s="34"/>
      <c r="H571" s="34" t="s">
        <v>151</v>
      </c>
      <c r="I571" s="34" t="s">
        <v>1192</v>
      </c>
      <c r="J571" s="35" t="s">
        <v>159</v>
      </c>
      <c r="K571" s="35"/>
    </row>
    <row r="572" spans="1:11" ht="23.1">
      <c r="A572" s="33" t="s">
        <v>123</v>
      </c>
      <c r="B572" s="34" t="s">
        <v>467</v>
      </c>
      <c r="C572" s="34" t="s">
        <v>468</v>
      </c>
      <c r="D572" s="34" t="s">
        <v>469</v>
      </c>
      <c r="E572" s="34" t="s">
        <v>470</v>
      </c>
      <c r="F572" s="34" t="s">
        <v>175</v>
      </c>
      <c r="G572" s="34"/>
      <c r="H572" s="34" t="s">
        <v>151</v>
      </c>
      <c r="I572" s="34" t="s">
        <v>23</v>
      </c>
      <c r="J572" s="35" t="s">
        <v>177</v>
      </c>
      <c r="K572" s="35" t="s">
        <v>471</v>
      </c>
    </row>
    <row r="573" spans="1:11" ht="24" customHeight="1">
      <c r="A573" s="33" t="s">
        <v>123</v>
      </c>
      <c r="B573" s="34" t="s">
        <v>472</v>
      </c>
      <c r="C573" s="34" t="s">
        <v>473</v>
      </c>
      <c r="D573" s="34" t="s">
        <v>474</v>
      </c>
      <c r="E573" s="34"/>
      <c r="F573" s="34" t="s">
        <v>157</v>
      </c>
      <c r="G573" s="34"/>
      <c r="H573" s="34" t="s">
        <v>151</v>
      </c>
      <c r="I573" s="34" t="s">
        <v>1193</v>
      </c>
      <c r="J573" s="35" t="s">
        <v>159</v>
      </c>
      <c r="K573" s="35"/>
    </row>
    <row r="574" spans="1:11" ht="34.5">
      <c r="A574" s="33" t="s">
        <v>123</v>
      </c>
      <c r="B574" s="34" t="s">
        <v>476</v>
      </c>
      <c r="C574" s="34" t="s">
        <v>477</v>
      </c>
      <c r="D574" s="34" t="s">
        <v>478</v>
      </c>
      <c r="E574" s="34" t="s">
        <v>479</v>
      </c>
      <c r="F574" s="34" t="s">
        <v>175</v>
      </c>
      <c r="G574" s="34"/>
      <c r="H574" s="34" t="s">
        <v>151</v>
      </c>
      <c r="I574" s="34" t="s">
        <v>23</v>
      </c>
      <c r="J574" s="35" t="s">
        <v>177</v>
      </c>
      <c r="K574" s="35" t="s">
        <v>480</v>
      </c>
    </row>
    <row r="575" spans="1:11" ht="24" customHeight="1">
      <c r="A575" s="33" t="s">
        <v>123</v>
      </c>
      <c r="B575" s="34" t="s">
        <v>481</v>
      </c>
      <c r="C575" s="34" t="s">
        <v>482</v>
      </c>
      <c r="D575" s="34" t="s">
        <v>483</v>
      </c>
      <c r="E575" s="34"/>
      <c r="F575" s="34" t="s">
        <v>157</v>
      </c>
      <c r="G575" s="34"/>
      <c r="H575" s="34" t="s">
        <v>151</v>
      </c>
      <c r="I575" s="34" t="s">
        <v>1193</v>
      </c>
      <c r="J575" s="35" t="s">
        <v>159</v>
      </c>
      <c r="K575" s="35"/>
    </row>
    <row r="576" spans="1:11" ht="24" customHeight="1">
      <c r="A576" s="33" t="s">
        <v>123</v>
      </c>
      <c r="B576" s="34" t="s">
        <v>1194</v>
      </c>
      <c r="C576" s="34" t="s">
        <v>1195</v>
      </c>
      <c r="D576" s="34" t="s">
        <v>1196</v>
      </c>
      <c r="E576" s="34"/>
      <c r="F576" s="34" t="s">
        <v>290</v>
      </c>
      <c r="G576" s="34"/>
      <c r="H576" s="34" t="s">
        <v>151</v>
      </c>
      <c r="I576" s="34">
        <v>83316692</v>
      </c>
      <c r="J576" s="35" t="s">
        <v>292</v>
      </c>
      <c r="K576" s="35"/>
    </row>
    <row r="577" spans="1:11" ht="36" customHeight="1">
      <c r="A577" s="33" t="s">
        <v>123</v>
      </c>
      <c r="B577" s="34" t="s">
        <v>1197</v>
      </c>
      <c r="C577" s="34" t="s">
        <v>1198</v>
      </c>
      <c r="D577" s="34" t="s">
        <v>1199</v>
      </c>
      <c r="E577" s="34"/>
      <c r="F577" s="34" t="s">
        <v>397</v>
      </c>
      <c r="G577" s="34"/>
      <c r="H577" s="34" t="s">
        <v>151</v>
      </c>
      <c r="I577" s="34" t="s">
        <v>1200</v>
      </c>
      <c r="J577" s="35" t="s">
        <v>399</v>
      </c>
      <c r="K577" s="35"/>
    </row>
    <row r="578" spans="1:11" ht="24" customHeight="1">
      <c r="A578" s="33" t="s">
        <v>123</v>
      </c>
      <c r="B578" s="34" t="s">
        <v>484</v>
      </c>
      <c r="C578" s="34" t="s">
        <v>485</v>
      </c>
      <c r="D578" s="34" t="s">
        <v>486</v>
      </c>
      <c r="E578" s="34" t="s">
        <v>487</v>
      </c>
      <c r="F578" s="34" t="s">
        <v>488</v>
      </c>
      <c r="G578" s="34"/>
      <c r="H578" s="34" t="s">
        <v>151</v>
      </c>
      <c r="I578" s="34" t="s">
        <v>1201</v>
      </c>
      <c r="J578" s="35" t="s">
        <v>490</v>
      </c>
      <c r="K578" s="35" t="s">
        <v>491</v>
      </c>
    </row>
    <row r="579" spans="1:11" ht="24" customHeight="1">
      <c r="A579" s="33" t="s">
        <v>123</v>
      </c>
      <c r="B579" s="34" t="s">
        <v>492</v>
      </c>
      <c r="C579" s="34" t="s">
        <v>493</v>
      </c>
      <c r="D579" s="34" t="s">
        <v>494</v>
      </c>
      <c r="E579" s="34"/>
      <c r="F579" s="34" t="s">
        <v>397</v>
      </c>
      <c r="G579" s="34"/>
      <c r="H579" s="34" t="s">
        <v>151</v>
      </c>
      <c r="I579" s="34" t="s">
        <v>1200</v>
      </c>
      <c r="J579" s="35" t="s">
        <v>399</v>
      </c>
      <c r="K579" s="35"/>
    </row>
    <row r="580" spans="1:11" ht="36" customHeight="1">
      <c r="A580" s="33" t="s">
        <v>123</v>
      </c>
      <c r="B580" s="34" t="s">
        <v>496</v>
      </c>
      <c r="C580" s="34" t="s">
        <v>497</v>
      </c>
      <c r="D580" s="34" t="s">
        <v>498</v>
      </c>
      <c r="E580" s="34" t="s">
        <v>499</v>
      </c>
      <c r="F580" s="34" t="s">
        <v>187</v>
      </c>
      <c r="G580" s="34"/>
      <c r="H580" s="34" t="s">
        <v>151</v>
      </c>
      <c r="I580" s="34" t="s">
        <v>704</v>
      </c>
      <c r="J580" s="35" t="s">
        <v>189</v>
      </c>
      <c r="K580" s="35" t="s">
        <v>501</v>
      </c>
    </row>
    <row r="581" spans="1:11" ht="24" customHeight="1">
      <c r="A581" s="33" t="s">
        <v>123</v>
      </c>
      <c r="B581" s="34" t="s">
        <v>502</v>
      </c>
      <c r="C581" s="34" t="s">
        <v>503</v>
      </c>
      <c r="D581" s="34" t="s">
        <v>504</v>
      </c>
      <c r="E581" s="34"/>
      <c r="F581" s="34" t="s">
        <v>505</v>
      </c>
      <c r="G581" s="34"/>
      <c r="H581" s="34" t="s">
        <v>151</v>
      </c>
      <c r="I581" s="34" t="s">
        <v>705</v>
      </c>
      <c r="J581" s="35" t="s">
        <v>507</v>
      </c>
      <c r="K581" s="35"/>
    </row>
    <row r="582" spans="1:11" ht="34.5">
      <c r="A582" s="33" t="s">
        <v>123</v>
      </c>
      <c r="B582" s="34" t="s">
        <v>508</v>
      </c>
      <c r="C582" s="34" t="s">
        <v>509</v>
      </c>
      <c r="D582" s="34" t="s">
        <v>510</v>
      </c>
      <c r="E582" s="34" t="s">
        <v>511</v>
      </c>
      <c r="F582" s="34" t="s">
        <v>187</v>
      </c>
      <c r="G582" s="34"/>
      <c r="H582" s="34" t="s">
        <v>151</v>
      </c>
      <c r="I582" s="34" t="s">
        <v>704</v>
      </c>
      <c r="J582" s="35" t="s">
        <v>189</v>
      </c>
      <c r="K582" s="35" t="s">
        <v>512</v>
      </c>
    </row>
    <row r="583" spans="1:11" ht="24" customHeight="1">
      <c r="A583" s="33" t="s">
        <v>123</v>
      </c>
      <c r="B583" s="34" t="s">
        <v>513</v>
      </c>
      <c r="C583" s="34" t="s">
        <v>514</v>
      </c>
      <c r="D583" s="34" t="s">
        <v>515</v>
      </c>
      <c r="E583" s="34"/>
      <c r="F583" s="34" t="s">
        <v>505</v>
      </c>
      <c r="G583" s="34"/>
      <c r="H583" s="34" t="s">
        <v>151</v>
      </c>
      <c r="I583" s="34" t="s">
        <v>705</v>
      </c>
      <c r="J583" s="35" t="s">
        <v>507</v>
      </c>
      <c r="K583" s="35"/>
    </row>
    <row r="584" spans="1:11" ht="57.6">
      <c r="A584" s="33" t="s">
        <v>123</v>
      </c>
      <c r="B584" s="34" t="s">
        <v>516</v>
      </c>
      <c r="C584" s="34" t="s">
        <v>517</v>
      </c>
      <c r="D584" s="34" t="s">
        <v>518</v>
      </c>
      <c r="E584" s="34" t="s">
        <v>519</v>
      </c>
      <c r="F584" s="34" t="s">
        <v>273</v>
      </c>
      <c r="G584" s="34"/>
      <c r="H584" s="34" t="s">
        <v>151</v>
      </c>
      <c r="I584" s="34" t="s">
        <v>1202</v>
      </c>
      <c r="J584" s="35" t="s">
        <v>275</v>
      </c>
      <c r="K584" s="35" t="s">
        <v>521</v>
      </c>
    </row>
    <row r="585" spans="1:11" ht="24" customHeight="1">
      <c r="A585" s="33" t="s">
        <v>123</v>
      </c>
      <c r="B585" s="34" t="s">
        <v>522</v>
      </c>
      <c r="C585" s="34" t="s">
        <v>523</v>
      </c>
      <c r="D585" s="34" t="s">
        <v>524</v>
      </c>
      <c r="E585" s="34"/>
      <c r="F585" s="34" t="s">
        <v>157</v>
      </c>
      <c r="G585" s="34"/>
      <c r="H585" s="34" t="s">
        <v>151</v>
      </c>
      <c r="I585" s="34" t="s">
        <v>1203</v>
      </c>
      <c r="J585" s="35" t="s">
        <v>159</v>
      </c>
      <c r="K585" s="35"/>
    </row>
    <row r="586" spans="1:11" ht="36" customHeight="1">
      <c r="A586" s="33" t="s">
        <v>123</v>
      </c>
      <c r="B586" s="34" t="s">
        <v>538</v>
      </c>
      <c r="C586" s="34" t="s">
        <v>538</v>
      </c>
      <c r="D586" s="34" t="s">
        <v>539</v>
      </c>
      <c r="E586" s="34" t="s">
        <v>540</v>
      </c>
      <c r="F586" s="34" t="s">
        <v>187</v>
      </c>
      <c r="G586" s="34"/>
      <c r="H586" s="34" t="s">
        <v>151</v>
      </c>
      <c r="I586" s="34" t="s">
        <v>1204</v>
      </c>
      <c r="J586" s="35" t="s">
        <v>189</v>
      </c>
      <c r="K586" s="35" t="s">
        <v>542</v>
      </c>
    </row>
    <row r="587" spans="1:11" ht="24" customHeight="1">
      <c r="A587" s="33" t="s">
        <v>123</v>
      </c>
      <c r="B587" s="34" t="s">
        <v>543</v>
      </c>
      <c r="C587" s="34" t="s">
        <v>543</v>
      </c>
      <c r="D587" s="34" t="s">
        <v>544</v>
      </c>
      <c r="E587" s="34"/>
      <c r="F587" s="34" t="s">
        <v>545</v>
      </c>
      <c r="G587" s="34"/>
      <c r="H587" s="34" t="s">
        <v>151</v>
      </c>
      <c r="I587" s="34" t="s">
        <v>1179</v>
      </c>
      <c r="J587" s="35" t="s">
        <v>546</v>
      </c>
      <c r="K587" s="35"/>
    </row>
    <row r="588" spans="1:11" ht="24" customHeight="1">
      <c r="A588" s="33" t="s">
        <v>123</v>
      </c>
      <c r="B588" s="34" t="s">
        <v>557</v>
      </c>
      <c r="C588" s="34" t="s">
        <v>558</v>
      </c>
      <c r="D588" s="34" t="s">
        <v>559</v>
      </c>
      <c r="E588" s="34" t="s">
        <v>560</v>
      </c>
      <c r="F588" s="34" t="s">
        <v>290</v>
      </c>
      <c r="G588" s="34"/>
      <c r="H588" s="34" t="s">
        <v>151</v>
      </c>
      <c r="I588" s="34">
        <v>11323966</v>
      </c>
      <c r="J588" s="35" t="s">
        <v>292</v>
      </c>
      <c r="K588" s="35" t="s">
        <v>561</v>
      </c>
    </row>
    <row r="589" spans="1:11" ht="24" customHeight="1">
      <c r="A589" s="33" t="s">
        <v>123</v>
      </c>
      <c r="B589" s="34" t="s">
        <v>562</v>
      </c>
      <c r="C589" s="34" t="s">
        <v>563</v>
      </c>
      <c r="D589" s="34" t="s">
        <v>564</v>
      </c>
      <c r="E589" s="34"/>
      <c r="F589" s="34" t="s">
        <v>335</v>
      </c>
      <c r="G589" s="34"/>
      <c r="H589" s="34" t="s">
        <v>151</v>
      </c>
      <c r="I589" s="34" t="s">
        <v>1205</v>
      </c>
      <c r="J589" s="35" t="s">
        <v>337</v>
      </c>
      <c r="K589" s="35"/>
    </row>
    <row r="590" spans="1:11" ht="24" customHeight="1">
      <c r="A590" s="33" t="s">
        <v>123</v>
      </c>
      <c r="B590" s="34" t="s">
        <v>566</v>
      </c>
      <c r="C590" s="34" t="s">
        <v>567</v>
      </c>
      <c r="D590" s="34" t="s">
        <v>568</v>
      </c>
      <c r="E590" s="34" t="s">
        <v>569</v>
      </c>
      <c r="F590" s="34" t="s">
        <v>273</v>
      </c>
      <c r="G590" s="34"/>
      <c r="H590" s="34" t="s">
        <v>151</v>
      </c>
      <c r="I590" s="34" t="s">
        <v>23</v>
      </c>
      <c r="J590" s="35" t="s">
        <v>275</v>
      </c>
      <c r="K590" s="35" t="s">
        <v>571</v>
      </c>
    </row>
    <row r="591" spans="1:11" ht="24" customHeight="1">
      <c r="A591" s="33" t="s">
        <v>123</v>
      </c>
      <c r="B591" s="34" t="s">
        <v>572</v>
      </c>
      <c r="C591" s="34" t="s">
        <v>573</v>
      </c>
      <c r="D591" s="34" t="s">
        <v>574</v>
      </c>
      <c r="E591" s="34"/>
      <c r="F591" s="34" t="s">
        <v>157</v>
      </c>
      <c r="G591" s="34"/>
      <c r="H591" s="34" t="s">
        <v>151</v>
      </c>
      <c r="I591" s="34" t="s">
        <v>1206</v>
      </c>
      <c r="J591" s="35" t="s">
        <v>159</v>
      </c>
      <c r="K591" s="35"/>
    </row>
    <row r="592" spans="1:11" ht="24" customHeight="1">
      <c r="A592" s="33" t="s">
        <v>123</v>
      </c>
      <c r="B592" s="34" t="s">
        <v>576</v>
      </c>
      <c r="C592" s="34" t="s">
        <v>577</v>
      </c>
      <c r="D592" s="34" t="s">
        <v>578</v>
      </c>
      <c r="E592" s="34" t="s">
        <v>579</v>
      </c>
      <c r="F592" s="34" t="s">
        <v>290</v>
      </c>
      <c r="G592" s="34"/>
      <c r="H592" s="34" t="s">
        <v>151</v>
      </c>
      <c r="I592" s="34">
        <v>11323966</v>
      </c>
      <c r="J592" s="35" t="s">
        <v>292</v>
      </c>
      <c r="K592" s="35" t="s">
        <v>580</v>
      </c>
    </row>
    <row r="593" spans="1:11" ht="24" customHeight="1">
      <c r="A593" s="33" t="s">
        <v>123</v>
      </c>
      <c r="B593" s="34" t="s">
        <v>581</v>
      </c>
      <c r="C593" s="34" t="s">
        <v>582</v>
      </c>
      <c r="D593" s="34" t="s">
        <v>583</v>
      </c>
      <c r="E593" s="34"/>
      <c r="F593" s="34" t="s">
        <v>335</v>
      </c>
      <c r="G593" s="34"/>
      <c r="H593" s="34" t="s">
        <v>151</v>
      </c>
      <c r="I593" s="34" t="s">
        <v>1205</v>
      </c>
      <c r="J593" s="35" t="s">
        <v>337</v>
      </c>
      <c r="K593" s="35"/>
    </row>
    <row r="594" spans="1:11" ht="24" customHeight="1">
      <c r="A594" s="33" t="s">
        <v>123</v>
      </c>
      <c r="B594" s="34" t="s">
        <v>584</v>
      </c>
      <c r="C594" s="34" t="s">
        <v>585</v>
      </c>
      <c r="D594" s="34" t="s">
        <v>586</v>
      </c>
      <c r="E594" s="34" t="s">
        <v>587</v>
      </c>
      <c r="F594" s="34" t="s">
        <v>273</v>
      </c>
      <c r="G594" s="34"/>
      <c r="H594" s="34" t="s">
        <v>151</v>
      </c>
      <c r="I594" s="34" t="s">
        <v>23</v>
      </c>
      <c r="J594" s="35" t="s">
        <v>275</v>
      </c>
      <c r="K594" s="35" t="s">
        <v>589</v>
      </c>
    </row>
    <row r="595" spans="1:11" ht="24" customHeight="1">
      <c r="A595" s="33" t="s">
        <v>123</v>
      </c>
      <c r="B595" s="34" t="s">
        <v>590</v>
      </c>
      <c r="C595" s="34" t="s">
        <v>591</v>
      </c>
      <c r="D595" s="34" t="s">
        <v>592</v>
      </c>
      <c r="E595" s="34"/>
      <c r="F595" s="34" t="s">
        <v>157</v>
      </c>
      <c r="G595" s="34"/>
      <c r="H595" s="34" t="s">
        <v>151</v>
      </c>
      <c r="I595" s="34" t="s">
        <v>1206</v>
      </c>
      <c r="J595" s="35" t="s">
        <v>159</v>
      </c>
      <c r="K595" s="35"/>
    </row>
    <row r="596" spans="1:11" ht="24" customHeight="1">
      <c r="A596" s="33" t="s">
        <v>123</v>
      </c>
      <c r="B596" s="34" t="s">
        <v>593</v>
      </c>
      <c r="C596" s="34" t="s">
        <v>594</v>
      </c>
      <c r="D596" s="34" t="s">
        <v>595</v>
      </c>
      <c r="E596" s="34" t="s">
        <v>596</v>
      </c>
      <c r="F596" s="34" t="s">
        <v>223</v>
      </c>
      <c r="G596" s="34"/>
      <c r="H596" s="34" t="s">
        <v>151</v>
      </c>
      <c r="I596" s="34" t="s">
        <v>714</v>
      </c>
      <c r="J596" s="35" t="s">
        <v>225</v>
      </c>
      <c r="K596" s="35" t="s">
        <v>598</v>
      </c>
    </row>
    <row r="597" spans="1:11" ht="36" customHeight="1">
      <c r="A597" s="33" t="s">
        <v>123</v>
      </c>
      <c r="B597" s="34" t="s">
        <v>599</v>
      </c>
      <c r="C597" s="34" t="s">
        <v>600</v>
      </c>
      <c r="D597" s="34" t="s">
        <v>601</v>
      </c>
      <c r="E597" s="34"/>
      <c r="F597" s="34" t="s">
        <v>157</v>
      </c>
      <c r="G597" s="34"/>
      <c r="H597" s="34" t="s">
        <v>151</v>
      </c>
      <c r="I597" s="34" t="s">
        <v>715</v>
      </c>
      <c r="J597" s="35" t="s">
        <v>159</v>
      </c>
      <c r="K597" s="35"/>
    </row>
    <row r="598" spans="1:11" ht="24" customHeight="1">
      <c r="A598" s="33" t="s">
        <v>123</v>
      </c>
      <c r="B598" s="34" t="s">
        <v>603</v>
      </c>
      <c r="C598" s="34" t="s">
        <v>604</v>
      </c>
      <c r="D598" s="34" t="s">
        <v>605</v>
      </c>
      <c r="E598" s="34" t="s">
        <v>606</v>
      </c>
      <c r="F598" s="34" t="s">
        <v>223</v>
      </c>
      <c r="G598" s="34"/>
      <c r="H598" s="34" t="s">
        <v>151</v>
      </c>
      <c r="I598" s="34" t="s">
        <v>714</v>
      </c>
      <c r="J598" s="35" t="s">
        <v>225</v>
      </c>
      <c r="K598" s="35" t="s">
        <v>607</v>
      </c>
    </row>
    <row r="599" spans="1:11" ht="24" customHeight="1">
      <c r="A599" s="33" t="s">
        <v>123</v>
      </c>
      <c r="B599" s="34" t="s">
        <v>608</v>
      </c>
      <c r="C599" s="34" t="s">
        <v>609</v>
      </c>
      <c r="D599" s="34" t="s">
        <v>610</v>
      </c>
      <c r="E599" s="34"/>
      <c r="F599" s="34" t="s">
        <v>157</v>
      </c>
      <c r="G599" s="34"/>
      <c r="H599" s="34" t="s">
        <v>151</v>
      </c>
      <c r="I599" s="34" t="s">
        <v>715</v>
      </c>
      <c r="J599" s="35" t="s">
        <v>159</v>
      </c>
      <c r="K599" s="35"/>
    </row>
    <row r="600" spans="1:11" ht="24" customHeight="1">
      <c r="A600" s="33" t="s">
        <v>123</v>
      </c>
      <c r="B600" s="34" t="s">
        <v>611</v>
      </c>
      <c r="C600" s="34" t="s">
        <v>612</v>
      </c>
      <c r="D600" s="34" t="s">
        <v>613</v>
      </c>
      <c r="E600" s="34" t="s">
        <v>614</v>
      </c>
      <c r="F600" s="34" t="s">
        <v>290</v>
      </c>
      <c r="G600" s="34"/>
      <c r="H600" s="34" t="s">
        <v>151</v>
      </c>
      <c r="I600" s="34" t="s">
        <v>1207</v>
      </c>
      <c r="J600" s="35" t="s">
        <v>292</v>
      </c>
      <c r="K600" s="35" t="s">
        <v>616</v>
      </c>
    </row>
    <row r="601" spans="1:11" ht="24" customHeight="1">
      <c r="A601" s="33" t="s">
        <v>123</v>
      </c>
      <c r="B601" s="34" t="s">
        <v>617</v>
      </c>
      <c r="C601" s="34" t="s">
        <v>618</v>
      </c>
      <c r="D601" s="34" t="s">
        <v>619</v>
      </c>
      <c r="E601" s="34"/>
      <c r="F601" s="34" t="s">
        <v>397</v>
      </c>
      <c r="G601" s="34"/>
      <c r="H601" s="34" t="s">
        <v>151</v>
      </c>
      <c r="I601" s="34" t="s">
        <v>1200</v>
      </c>
      <c r="J601" s="35" t="s">
        <v>399</v>
      </c>
      <c r="K601" s="35"/>
    </row>
    <row r="602" spans="1:11" ht="24" customHeight="1">
      <c r="A602" s="33" t="s">
        <v>123</v>
      </c>
      <c r="B602" s="34" t="s">
        <v>1208</v>
      </c>
      <c r="C602" s="34" t="s">
        <v>1209</v>
      </c>
      <c r="D602" s="34" t="s">
        <v>1210</v>
      </c>
      <c r="E602" s="34" t="s">
        <v>1211</v>
      </c>
      <c r="F602" s="34" t="s">
        <v>633</v>
      </c>
      <c r="G602" s="34"/>
      <c r="H602" s="34" t="s">
        <v>151</v>
      </c>
      <c r="I602" s="34" t="s">
        <v>810</v>
      </c>
      <c r="J602" s="35" t="s">
        <v>635</v>
      </c>
      <c r="K602" s="35" t="s">
        <v>1212</v>
      </c>
    </row>
    <row r="603" spans="1:11" ht="24" customHeight="1">
      <c r="A603" s="33" t="s">
        <v>123</v>
      </c>
      <c r="B603" s="34" t="s">
        <v>1213</v>
      </c>
      <c r="C603" s="34" t="s">
        <v>1214</v>
      </c>
      <c r="D603" s="34" t="s">
        <v>1215</v>
      </c>
      <c r="E603" s="34" t="s">
        <v>1216</v>
      </c>
      <c r="F603" s="34" t="s">
        <v>641</v>
      </c>
      <c r="G603" s="34"/>
      <c r="H603" s="34" t="s">
        <v>151</v>
      </c>
      <c r="I603" s="34" t="s">
        <v>810</v>
      </c>
      <c r="J603" s="35" t="s">
        <v>1217</v>
      </c>
      <c r="K603" s="35" t="s">
        <v>1218</v>
      </c>
    </row>
    <row r="604" spans="1:11" ht="24" customHeight="1">
      <c r="A604" s="33" t="s">
        <v>123</v>
      </c>
      <c r="B604" s="34" t="s">
        <v>1219</v>
      </c>
      <c r="C604" s="34" t="s">
        <v>1220</v>
      </c>
      <c r="D604" s="34" t="s">
        <v>1221</v>
      </c>
      <c r="E604" s="34" t="s">
        <v>1222</v>
      </c>
      <c r="F604" s="34" t="s">
        <v>625</v>
      </c>
      <c r="G604" s="34"/>
      <c r="H604" s="34" t="s">
        <v>151</v>
      </c>
      <c r="I604" s="34" t="s">
        <v>810</v>
      </c>
      <c r="J604" s="35" t="s">
        <v>627</v>
      </c>
      <c r="K604" s="35" t="s">
        <v>1223</v>
      </c>
    </row>
    <row r="605" spans="1:11" ht="34.5">
      <c r="A605" s="42" t="s">
        <v>117</v>
      </c>
      <c r="B605" s="39" t="s">
        <v>1224</v>
      </c>
      <c r="C605" s="43" t="s">
        <v>1225</v>
      </c>
      <c r="D605" s="39" t="s">
        <v>1226</v>
      </c>
      <c r="E605" s="39" t="s">
        <v>1227</v>
      </c>
      <c r="F605" s="39" t="s">
        <v>633</v>
      </c>
      <c r="G605" s="39"/>
      <c r="H605" s="39" t="b">
        <v>0</v>
      </c>
      <c r="I605" s="39"/>
      <c r="J605" s="40"/>
      <c r="K605" s="41" t="s">
        <v>1228</v>
      </c>
    </row>
    <row r="607" spans="1:11">
      <c r="A607" s="17"/>
      <c r="B607" s="21"/>
      <c r="C607" s="21"/>
    </row>
    <row r="608" spans="1:11">
      <c r="A608" s="18"/>
      <c r="B608" s="22"/>
      <c r="C608" s="22"/>
    </row>
    <row r="609" spans="1:3">
      <c r="A609" s="19"/>
      <c r="B609" s="23"/>
      <c r="C609" s="23"/>
    </row>
  </sheetData>
  <mergeCells count="3">
    <mergeCell ref="A2:K2"/>
    <mergeCell ref="A1:K1"/>
    <mergeCell ref="A3:K3"/>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0"/>
  <sheetViews>
    <sheetView zoomScale="97" zoomScaleNormal="115" workbookViewId="0">
      <pane ySplit="5" topLeftCell="A18" activePane="bottomLeft" state="frozen"/>
      <selection pane="bottomLeft" activeCell="A6" sqref="A6"/>
      <selection activeCell="B52" sqref="B52"/>
    </sheetView>
  </sheetViews>
  <sheetFormatPr defaultColWidth="9.140625" defaultRowHeight="14.45"/>
  <cols>
    <col min="1" max="1" width="22" customWidth="1"/>
    <col min="2" max="2" width="18" customWidth="1"/>
    <col min="3" max="4" width="38" customWidth="1"/>
    <col min="5" max="5" width="32" customWidth="1"/>
    <col min="6" max="6" width="38" customWidth="1"/>
    <col min="7" max="7" width="38.140625" customWidth="1"/>
    <col min="8" max="9" width="28" customWidth="1"/>
    <col min="10" max="10" width="48" customWidth="1"/>
    <col min="11" max="11" width="38.140625" customWidth="1"/>
  </cols>
  <sheetData>
    <row r="1" spans="1:14" ht="28.15" customHeight="1">
      <c r="A1" s="53" t="s">
        <v>1229</v>
      </c>
      <c r="B1" s="70"/>
      <c r="C1" s="70"/>
      <c r="D1" s="70"/>
      <c r="E1" s="70"/>
      <c r="F1" s="70"/>
      <c r="G1" s="70"/>
      <c r="H1" s="70"/>
      <c r="I1" s="70"/>
      <c r="J1" s="70"/>
      <c r="K1" s="70"/>
    </row>
    <row r="2" spans="1:14" ht="18" customHeight="1">
      <c r="A2" s="52" t="s">
        <v>1230</v>
      </c>
      <c r="B2" s="70"/>
      <c r="C2" s="70"/>
      <c r="D2" s="70"/>
      <c r="E2" s="70"/>
      <c r="F2" s="70"/>
      <c r="G2" s="70"/>
      <c r="H2" s="70"/>
      <c r="I2" s="70"/>
      <c r="J2" s="70"/>
      <c r="K2" s="70"/>
    </row>
    <row r="3" spans="1:14" ht="42" customHeight="1">
      <c r="A3" s="51" t="s">
        <v>1231</v>
      </c>
      <c r="B3" s="70"/>
      <c r="C3" s="70"/>
      <c r="D3" s="70"/>
      <c r="E3" s="70"/>
      <c r="F3" s="70"/>
      <c r="G3" s="70"/>
      <c r="H3" s="70"/>
      <c r="I3" s="70"/>
      <c r="J3" s="70"/>
      <c r="K3" s="70"/>
    </row>
    <row r="4" spans="1:14" ht="42" customHeight="1">
      <c r="A4" s="16" t="s">
        <v>5</v>
      </c>
      <c r="C4" t="s">
        <v>1232</v>
      </c>
      <c r="E4" t="s">
        <v>1232</v>
      </c>
      <c r="N4" t="s">
        <v>1233</v>
      </c>
    </row>
    <row r="5" spans="1:14" ht="30" customHeight="1">
      <c r="A5" s="1" t="s">
        <v>1234</v>
      </c>
      <c r="B5" s="1" t="s">
        <v>1235</v>
      </c>
      <c r="C5" s="1" t="s">
        <v>140</v>
      </c>
      <c r="D5" s="1" t="s">
        <v>88</v>
      </c>
      <c r="E5" s="1" t="s">
        <v>1236</v>
      </c>
      <c r="F5" s="1" t="s">
        <v>1237</v>
      </c>
      <c r="G5" s="1" t="s">
        <v>1238</v>
      </c>
      <c r="H5" s="1" t="s">
        <v>1239</v>
      </c>
      <c r="I5" s="1" t="s">
        <v>1240</v>
      </c>
      <c r="J5" s="1" t="s">
        <v>1241</v>
      </c>
      <c r="K5" s="1" t="s">
        <v>1242</v>
      </c>
    </row>
    <row r="6" spans="1:14" ht="103.5">
      <c r="A6" s="2" t="s">
        <v>1243</v>
      </c>
      <c r="B6" s="2" t="s">
        <v>123</v>
      </c>
      <c r="C6" s="2" t="s">
        <v>1244</v>
      </c>
      <c r="D6" s="5" t="s">
        <v>1245</v>
      </c>
      <c r="E6" s="2" t="s">
        <v>1246</v>
      </c>
      <c r="F6" s="2" t="s">
        <v>1247</v>
      </c>
      <c r="G6" s="2" t="s">
        <v>1248</v>
      </c>
      <c r="H6" s="2" t="s">
        <v>111</v>
      </c>
      <c r="I6" s="2" t="s">
        <v>1249</v>
      </c>
      <c r="J6" s="2"/>
      <c r="K6" s="2" t="s">
        <v>1250</v>
      </c>
    </row>
    <row r="7" spans="1:14" ht="80.45">
      <c r="A7" s="2" t="s">
        <v>1251</v>
      </c>
      <c r="B7" s="2" t="s">
        <v>117</v>
      </c>
      <c r="C7" s="2" t="s">
        <v>1252</v>
      </c>
      <c r="D7" s="2" t="s">
        <v>1253</v>
      </c>
      <c r="E7" s="38" t="s">
        <v>1254</v>
      </c>
      <c r="F7" s="2" t="s">
        <v>1255</v>
      </c>
      <c r="G7" s="38" t="s">
        <v>1256</v>
      </c>
      <c r="H7" s="2" t="s">
        <v>117</v>
      </c>
      <c r="I7" s="2" t="s">
        <v>1257</v>
      </c>
      <c r="J7" s="2"/>
      <c r="K7" s="2" t="s">
        <v>1258</v>
      </c>
    </row>
    <row r="8" spans="1:14" ht="92.1">
      <c r="A8" s="2" t="s">
        <v>1259</v>
      </c>
      <c r="B8" s="2" t="s">
        <v>1260</v>
      </c>
      <c r="C8" s="2" t="s">
        <v>1261</v>
      </c>
      <c r="D8" s="2" t="s">
        <v>1262</v>
      </c>
      <c r="E8" s="2" t="s">
        <v>1263</v>
      </c>
      <c r="F8" s="2" t="s">
        <v>1264</v>
      </c>
      <c r="G8" s="38" t="s">
        <v>1265</v>
      </c>
      <c r="H8" s="2" t="s">
        <v>1266</v>
      </c>
      <c r="I8" s="2" t="s">
        <v>1267</v>
      </c>
      <c r="J8" s="2"/>
      <c r="K8" s="2" t="s">
        <v>1268</v>
      </c>
    </row>
    <row r="9" spans="1:14" ht="92.1">
      <c r="A9" s="2" t="s">
        <v>1269</v>
      </c>
      <c r="B9" s="2" t="s">
        <v>1260</v>
      </c>
      <c r="C9" s="2" t="s">
        <v>1270</v>
      </c>
      <c r="D9" s="2" t="s">
        <v>1271</v>
      </c>
      <c r="E9" s="2" t="s">
        <v>1272</v>
      </c>
      <c r="F9" s="2" t="s">
        <v>1273</v>
      </c>
      <c r="G9" s="38" t="s">
        <v>1274</v>
      </c>
      <c r="H9" s="2" t="s">
        <v>1266</v>
      </c>
      <c r="I9" s="2" t="s">
        <v>1275</v>
      </c>
      <c r="J9" s="2"/>
      <c r="K9" s="2" t="s">
        <v>1276</v>
      </c>
    </row>
    <row r="10" spans="1:14" ht="103.5">
      <c r="A10" s="2" t="s">
        <v>1277</v>
      </c>
      <c r="B10" s="2" t="s">
        <v>123</v>
      </c>
      <c r="C10" s="2" t="s">
        <v>1278</v>
      </c>
      <c r="D10" s="2" t="s">
        <v>1279</v>
      </c>
      <c r="E10" s="2" t="s">
        <v>1280</v>
      </c>
      <c r="F10" s="2" t="s">
        <v>1281</v>
      </c>
      <c r="G10" s="38" t="s">
        <v>1282</v>
      </c>
      <c r="H10" s="2" t="s">
        <v>111</v>
      </c>
      <c r="I10" s="2" t="s">
        <v>1283</v>
      </c>
      <c r="J10" s="2"/>
      <c r="K10" s="2" t="s">
        <v>1284</v>
      </c>
    </row>
    <row r="11" spans="1:14" ht="103.5">
      <c r="A11" s="2" t="s">
        <v>1285</v>
      </c>
      <c r="B11" s="2" t="s">
        <v>123</v>
      </c>
      <c r="C11" s="2" t="s">
        <v>1286</v>
      </c>
      <c r="D11" s="2" t="s">
        <v>1287</v>
      </c>
      <c r="E11" s="2" t="s">
        <v>1288</v>
      </c>
      <c r="F11" s="2" t="s">
        <v>1289</v>
      </c>
      <c r="G11" s="38" t="s">
        <v>1290</v>
      </c>
      <c r="H11" s="2" t="s">
        <v>111</v>
      </c>
      <c r="I11" s="2" t="s">
        <v>1291</v>
      </c>
      <c r="J11" s="2"/>
      <c r="K11" s="2" t="s">
        <v>1292</v>
      </c>
    </row>
    <row r="12" spans="1:14" ht="103.5">
      <c r="A12" s="2" t="s">
        <v>1293</v>
      </c>
      <c r="B12" s="2" t="s">
        <v>123</v>
      </c>
      <c r="C12" s="2" t="s">
        <v>1294</v>
      </c>
      <c r="D12" s="2" t="s">
        <v>1295</v>
      </c>
      <c r="E12" s="2" t="s">
        <v>1296</v>
      </c>
      <c r="F12" s="2" t="s">
        <v>1297</v>
      </c>
      <c r="G12" s="38" t="s">
        <v>1298</v>
      </c>
      <c r="H12" s="2" t="s">
        <v>111</v>
      </c>
      <c r="I12" s="2" t="s">
        <v>1299</v>
      </c>
      <c r="J12" s="2"/>
      <c r="K12" s="2" t="s">
        <v>1300</v>
      </c>
    </row>
    <row r="13" spans="1:14" ht="103.5">
      <c r="A13" s="2" t="s">
        <v>1301</v>
      </c>
      <c r="B13" s="2" t="s">
        <v>123</v>
      </c>
      <c r="C13" s="2" t="s">
        <v>1302</v>
      </c>
      <c r="D13" s="2" t="s">
        <v>1303</v>
      </c>
      <c r="E13" s="2" t="s">
        <v>1304</v>
      </c>
      <c r="F13" s="2" t="s">
        <v>1305</v>
      </c>
      <c r="G13" s="38" t="s">
        <v>1306</v>
      </c>
      <c r="H13" s="2" t="s">
        <v>111</v>
      </c>
      <c r="I13" s="2" t="s">
        <v>1307</v>
      </c>
      <c r="J13" s="2"/>
      <c r="K13" s="2" t="s">
        <v>1308</v>
      </c>
    </row>
    <row r="14" spans="1:14" ht="80.45">
      <c r="A14" s="2" t="s">
        <v>1309</v>
      </c>
      <c r="B14" s="2" t="s">
        <v>1260</v>
      </c>
      <c r="C14" s="2" t="s">
        <v>1310</v>
      </c>
      <c r="D14" s="2" t="s">
        <v>1311</v>
      </c>
      <c r="E14" s="38" t="s">
        <v>1312</v>
      </c>
      <c r="F14" s="2" t="s">
        <v>1313</v>
      </c>
      <c r="G14" s="38" t="s">
        <v>1314</v>
      </c>
      <c r="H14" s="2" t="s">
        <v>1266</v>
      </c>
      <c r="I14" s="2" t="s">
        <v>1315</v>
      </c>
      <c r="J14" s="2"/>
      <c r="K14" s="2" t="s">
        <v>1316</v>
      </c>
    </row>
    <row r="15" spans="1:14" ht="183.95">
      <c r="A15" s="2" t="s">
        <v>1317</v>
      </c>
      <c r="B15" s="2" t="s">
        <v>1260</v>
      </c>
      <c r="C15" s="2" t="s">
        <v>1318</v>
      </c>
      <c r="D15" s="2" t="s">
        <v>1319</v>
      </c>
      <c r="E15" s="2" t="s">
        <v>1320</v>
      </c>
      <c r="F15" s="2" t="s">
        <v>1321</v>
      </c>
      <c r="G15" s="38" t="s">
        <v>1322</v>
      </c>
      <c r="H15" s="2" t="s">
        <v>1266</v>
      </c>
      <c r="I15" s="2" t="s">
        <v>1323</v>
      </c>
      <c r="J15" s="2"/>
      <c r="K15" s="2" t="s">
        <v>1324</v>
      </c>
    </row>
    <row r="16" spans="1:14" ht="172.5">
      <c r="A16" s="2" t="s">
        <v>1325</v>
      </c>
      <c r="B16" s="2" t="s">
        <v>1260</v>
      </c>
      <c r="C16" s="2" t="s">
        <v>1326</v>
      </c>
      <c r="D16" s="2" t="s">
        <v>1327</v>
      </c>
      <c r="E16" s="2" t="s">
        <v>1328</v>
      </c>
      <c r="F16" s="2" t="s">
        <v>1329</v>
      </c>
      <c r="G16" s="38" t="s">
        <v>1330</v>
      </c>
      <c r="H16" s="2" t="s">
        <v>1266</v>
      </c>
      <c r="I16" s="2" t="s">
        <v>1331</v>
      </c>
      <c r="J16" s="2"/>
      <c r="K16" s="2" t="s">
        <v>1332</v>
      </c>
    </row>
    <row r="17" spans="1:11" ht="409.5">
      <c r="A17" s="2" t="s">
        <v>1333</v>
      </c>
      <c r="B17" s="2" t="s">
        <v>123</v>
      </c>
      <c r="C17" s="2" t="s">
        <v>1334</v>
      </c>
      <c r="D17" s="2" t="s">
        <v>1335</v>
      </c>
      <c r="E17" s="2" t="s">
        <v>1336</v>
      </c>
      <c r="F17" s="2" t="s">
        <v>1337</v>
      </c>
      <c r="G17" s="2" t="s">
        <v>1338</v>
      </c>
      <c r="H17" s="2" t="s">
        <v>123</v>
      </c>
      <c r="I17" s="2" t="s">
        <v>1339</v>
      </c>
      <c r="J17" s="2"/>
      <c r="K17" s="2" t="s">
        <v>1340</v>
      </c>
    </row>
    <row r="18" spans="1:11" ht="409.5">
      <c r="A18" s="2" t="s">
        <v>1341</v>
      </c>
      <c r="B18" s="2" t="s">
        <v>123</v>
      </c>
      <c r="C18" s="2" t="s">
        <v>1342</v>
      </c>
      <c r="D18" s="2" t="s">
        <v>1343</v>
      </c>
      <c r="E18" s="2" t="s">
        <v>1344</v>
      </c>
      <c r="F18" s="2" t="s">
        <v>1345</v>
      </c>
      <c r="G18" s="38" t="s">
        <v>1346</v>
      </c>
      <c r="H18" s="2" t="s">
        <v>123</v>
      </c>
      <c r="I18" s="2" t="s">
        <v>1347</v>
      </c>
      <c r="J18" s="2" t="s">
        <v>1348</v>
      </c>
      <c r="K18" s="2" t="s">
        <v>1349</v>
      </c>
    </row>
    <row r="19" spans="1:11" ht="195.6">
      <c r="A19" s="36" t="s">
        <v>1350</v>
      </c>
      <c r="B19" s="36" t="s">
        <v>123</v>
      </c>
      <c r="C19" s="36" t="s">
        <v>1351</v>
      </c>
      <c r="D19" s="36" t="s">
        <v>1352</v>
      </c>
      <c r="E19" s="36" t="s">
        <v>1353</v>
      </c>
      <c r="F19" s="36" t="s">
        <v>1354</v>
      </c>
      <c r="G19" s="36" t="s">
        <v>1355</v>
      </c>
      <c r="H19" s="36" t="s">
        <v>105</v>
      </c>
      <c r="I19" s="36" t="s">
        <v>1356</v>
      </c>
      <c r="J19" s="36"/>
      <c r="K19" s="2" t="s">
        <v>1357</v>
      </c>
    </row>
    <row r="20" spans="1:11" ht="100.15" customHeight="1">
      <c r="A20" s="36" t="s">
        <v>1358</v>
      </c>
      <c r="B20" s="2" t="s">
        <v>1260</v>
      </c>
      <c r="C20" s="36" t="str">
        <f>VLOOKUP(E20,'3. Column Info'!B6:E102,4,FALSE)</f>
        <v>The open receivables amount in EUR at a defined key date. Part of the accounts receivable key date reporting. Used for WoC and receivables stock analyses.</v>
      </c>
      <c r="D20" s="36" t="s">
        <v>1359</v>
      </c>
      <c r="E20" s="36" t="s">
        <v>621</v>
      </c>
      <c r="F20" s="36" t="s">
        <v>628</v>
      </c>
      <c r="G20" s="36" t="s">
        <v>1360</v>
      </c>
      <c r="H20" s="36" t="s">
        <v>1266</v>
      </c>
      <c r="I20" s="36"/>
      <c r="J20" s="36"/>
      <c r="K20" s="36"/>
    </row>
    <row r="21" spans="1:11" ht="100.15" customHeight="1">
      <c r="A21" s="36" t="s">
        <v>1361</v>
      </c>
      <c r="B21" s="2" t="s">
        <v>1260</v>
      </c>
      <c r="C21" s="36" t="str">
        <f>VLOOKUP(E21,'3. Column Info'!B7:E103,4,FALSE)</f>
        <v>Number of open customer line items (receivable positions) at the defined key date. Serves as the volume basis for average value calculations in AR key date reporting.</v>
      </c>
      <c r="D21" s="36" t="s">
        <v>1362</v>
      </c>
      <c r="E21" s="36" t="s">
        <v>629</v>
      </c>
      <c r="F21" s="36" t="s">
        <v>636</v>
      </c>
      <c r="G21" s="36" t="s">
        <v>1363</v>
      </c>
      <c r="H21" s="36" t="s">
        <v>1266</v>
      </c>
      <c r="I21" s="36"/>
      <c r="J21" s="36"/>
      <c r="K21" s="36"/>
    </row>
    <row r="22" spans="1:11" ht="100.15" customHeight="1">
      <c r="A22" s="36" t="s">
        <v>1364</v>
      </c>
      <c r="B22" s="2" t="s">
        <v>1260</v>
      </c>
      <c r="C22" s="36" t="str">
        <f>VLOOKUP(E22,'3. Column Info'!B8:E104,4,FALSE)</f>
        <v>The net value of an invoice line item in document currency (DC) at the key date. Starting figure for the calculation of weighted receivables KPIs such as WoC and WAT.</v>
      </c>
      <c r="D22" s="36" t="s">
        <v>1365</v>
      </c>
      <c r="E22" s="36" t="s">
        <v>637</v>
      </c>
      <c r="F22" s="36" t="s">
        <v>644</v>
      </c>
      <c r="G22" s="36" t="s">
        <v>1366</v>
      </c>
      <c r="H22" s="36" t="s">
        <v>1266</v>
      </c>
      <c r="I22" s="36"/>
      <c r="J22" s="36"/>
      <c r="K22" s="36"/>
    </row>
    <row r="23" spans="1:11" ht="100.15" customHeight="1">
      <c r="A23" s="36" t="s">
        <v>1367</v>
      </c>
      <c r="B23" s="2" t="s">
        <v>1260</v>
      </c>
      <c r="C23" s="36" t="str">
        <f>VLOOKUP(E23,'3. Column Info'!B9:E105,4,FALSE)</f>
        <v xml:space="preserve">The weighted target days for Weeks of Credit (WoC) at the key date, calculated on the basis of agreed payment terms. Used as a benchmark figure against actual outstanding days. The actual Weighted WoC Target days is calculated by dividing Weighted WoC Target days by Amount in EUR for each data point. </v>
      </c>
      <c r="D23" s="36" t="s">
        <v>1368</v>
      </c>
      <c r="E23" s="36" t="s">
        <v>645</v>
      </c>
      <c r="F23" s="36" t="s">
        <v>652</v>
      </c>
      <c r="G23" s="36" t="s">
        <v>1369</v>
      </c>
      <c r="H23" s="36" t="s">
        <v>1266</v>
      </c>
      <c r="I23" s="36"/>
      <c r="J23" s="36"/>
      <c r="K23" s="36"/>
    </row>
    <row r="24" spans="1:11" ht="100.15" customHeight="1">
      <c r="A24" s="36" t="s">
        <v>1370</v>
      </c>
      <c r="B24" s="2" t="s">
        <v>1260</v>
      </c>
      <c r="C24" s="36" t="str">
        <f>VLOOKUP(E24,'3. Column Info'!B10:E106,4,FALSE)</f>
        <v xml:space="preserve">The amount-weighted contractual payment term days (target days) of all open receivable positions at the key date. Basis for the calculation of WAT (Weighted Average Terms). The actual weighted target days is calculated by dividing Weighted target days by Amount in EUR for each data point. </v>
      </c>
      <c r="D24" s="36" t="s">
        <v>1371</v>
      </c>
      <c r="E24" s="36" t="s">
        <v>653</v>
      </c>
      <c r="F24" s="36" t="s">
        <v>660</v>
      </c>
      <c r="G24" s="36" t="s">
        <v>1372</v>
      </c>
      <c r="H24" s="36" t="s">
        <v>1266</v>
      </c>
      <c r="I24" s="36"/>
      <c r="J24" s="36"/>
      <c r="K24" s="36"/>
    </row>
    <row r="25" spans="1:11" ht="100.15" customHeight="1">
      <c r="A25" s="36" t="s">
        <v>1373</v>
      </c>
      <c r="B25" s="2" t="s">
        <v>1260</v>
      </c>
      <c r="C25" s="36" t="str">
        <f>VLOOKUP(E25,Tabelle14[[column_name]:[description]],4,FALSE)</f>
        <v>The receivables amount in EUR within the AR Performance Monitoring (AR-PM). Period-related figure for evaluating receivables performance.</v>
      </c>
      <c r="D25" s="36" t="s">
        <v>1374</v>
      </c>
      <c r="E25" s="36" t="s">
        <v>716</v>
      </c>
      <c r="F25" s="36" t="s">
        <v>721</v>
      </c>
      <c r="G25" s="36" t="s">
        <v>1375</v>
      </c>
      <c r="H25" s="2" t="s">
        <v>1376</v>
      </c>
      <c r="I25" s="36"/>
      <c r="J25" s="36"/>
      <c r="K25" s="36"/>
    </row>
    <row r="26" spans="1:11" ht="100.15" customHeight="1">
      <c r="A26" s="36" t="s">
        <v>1377</v>
      </c>
      <c r="B26" s="2" t="s">
        <v>1260</v>
      </c>
      <c r="C26" s="36" t="str">
        <f>VLOOKUP(E26,'3. Column Info'!B$197:E$604,4,FALSE)</f>
        <v>Number of customer line items in AR Performance Monitoring. Volume basis for weighted average KPIs in AR period reporting.</v>
      </c>
      <c r="D26" s="36" t="s">
        <v>1378</v>
      </c>
      <c r="E26" s="36" t="s">
        <v>722</v>
      </c>
      <c r="F26" s="36" t="s">
        <v>726</v>
      </c>
      <c r="G26" s="36" t="s">
        <v>1379</v>
      </c>
      <c r="H26" s="2" t="s">
        <v>1376</v>
      </c>
      <c r="I26" s="36"/>
      <c r="J26" s="36"/>
      <c r="K26" s="36"/>
    </row>
    <row r="27" spans="1:11" ht="100.15" customHeight="1">
      <c r="A27" s="36" t="s">
        <v>729</v>
      </c>
      <c r="B27" s="2" t="s">
        <v>1260</v>
      </c>
      <c r="C27" s="36" t="str">
        <f>VLOOKUP(E27,'3. Column Info'!B$197:E$604,4,FALSE)</f>
        <v>The difference between actual WoC (Weeks of Credit) and the target value. Positive value = payment term exceeded; negative value = payment term undercut. Operational control indicator for receivables management.</v>
      </c>
      <c r="D27" s="36" t="s">
        <v>1380</v>
      </c>
      <c r="E27" s="36" t="s">
        <v>727</v>
      </c>
      <c r="F27" s="36" t="s">
        <v>733</v>
      </c>
      <c r="G27" s="36" t="s">
        <v>1381</v>
      </c>
      <c r="H27" s="2" t="s">
        <v>1376</v>
      </c>
      <c r="I27" s="36"/>
      <c r="J27" s="36"/>
      <c r="K27" s="36"/>
    </row>
    <row r="28" spans="1:11" ht="100.15" customHeight="1">
      <c r="A28" s="36" t="s">
        <v>736</v>
      </c>
      <c r="B28" s="2" t="s">
        <v>1260</v>
      </c>
      <c r="C28" s="36" t="str">
        <f>VLOOKUP(E28,'3. Column Info'!B$197:E$604,4,FALSE)</f>
        <v xml:space="preserve">EDO = WAT + WDD. Indicates the actual weighted outstanding days, i.e. the sum of the agreed payment terms (WAT) and the average delay (WDD). Corresponds to the operational DSO (Days Sales Outstanding). </v>
      </c>
      <c r="D28" s="36" t="s">
        <v>1382</v>
      </c>
      <c r="E28" s="36" t="s">
        <v>734</v>
      </c>
      <c r="F28" s="36" t="s">
        <v>741</v>
      </c>
      <c r="G28" s="36" t="s">
        <v>1383</v>
      </c>
      <c r="H28" s="2" t="s">
        <v>1376</v>
      </c>
      <c r="I28" s="36"/>
      <c r="J28" s="36"/>
      <c r="K28" s="36"/>
    </row>
    <row r="29" spans="1:11" ht="100.15" customHeight="1">
      <c r="A29" s="36" t="s">
        <v>744</v>
      </c>
      <c r="B29" s="2" t="s">
        <v>1260</v>
      </c>
      <c r="C29" s="36" t="str">
        <f>VLOOKUP(E29,'3. Column Info'!B$197:E$604,4,FALSE)</f>
        <v>The total number of days a receivable was actually open, taking into account all influencing factors (WAT + WDD + Posting Days). Represents the total weighted duration from invoice creation through payment realization including administrative processing delays. Overall evaluation measure of AR performance.</v>
      </c>
      <c r="D29" s="36" t="s">
        <v>1384</v>
      </c>
      <c r="E29" s="36" t="s">
        <v>742</v>
      </c>
      <c r="F29" s="36" t="s">
        <v>746</v>
      </c>
      <c r="G29" s="36" t="s">
        <v>1385</v>
      </c>
      <c r="H29" s="2" t="s">
        <v>1376</v>
      </c>
      <c r="I29" s="36"/>
      <c r="J29" s="36"/>
      <c r="K29" s="36"/>
    </row>
    <row r="30" spans="1:11" ht="100.15" customHeight="1">
      <c r="A30" s="36" t="s">
        <v>749</v>
      </c>
      <c r="B30" s="2" t="s">
        <v>1260</v>
      </c>
      <c r="C30" s="36" t="str">
        <f>VLOOKUP(E30,'3. Column Info'!B$197:E$604,4,FALSE)</f>
        <v>The number of days between the invoice date and the actual posting date in the system. Provides insight into internal posting delays that affect AR performance. Reported separately to distinguish administrative delays from actual payment delays.</v>
      </c>
      <c r="D30" s="36" t="s">
        <v>1386</v>
      </c>
      <c r="E30" s="36" t="s">
        <v>747</v>
      </c>
      <c r="F30" s="36" t="s">
        <v>753</v>
      </c>
      <c r="G30" s="36" t="s">
        <v>1387</v>
      </c>
      <c r="H30" s="2" t="s">
        <v>1376</v>
      </c>
      <c r="I30" s="36"/>
      <c r="J30" s="36"/>
      <c r="K30" s="36"/>
    </row>
    <row r="31" spans="1:11" ht="100.15" customHeight="1">
      <c r="A31" s="36" t="s">
        <v>1388</v>
      </c>
      <c r="B31" s="2" t="s">
        <v>1260</v>
      </c>
      <c r="C31" s="36" t="str">
        <f>VLOOKUP(E31,'3. Column Info'!B$197:E$604,4,FALSE)</f>
        <v>WAT = Weighted Average Terms. Indicates the amount-weighted contractual payment term days of all open receivables in a period. Example: WAT of 86.4 days means that payment terms of 86.4 days were agreed on average. A strategic KPI in Working Capital Management.</v>
      </c>
      <c r="D31" s="36" t="s">
        <v>1389</v>
      </c>
      <c r="E31" s="36" t="s">
        <v>754</v>
      </c>
      <c r="F31" s="36" t="s">
        <v>759</v>
      </c>
      <c r="G31" s="36" t="s">
        <v>1390</v>
      </c>
      <c r="H31" s="2" t="s">
        <v>1376</v>
      </c>
      <c r="I31" s="36"/>
      <c r="J31" s="36"/>
      <c r="K31" s="36"/>
    </row>
    <row r="32" spans="1:11" ht="100.15" customHeight="1">
      <c r="A32" s="36" t="s">
        <v>762</v>
      </c>
      <c r="B32" s="2" t="s">
        <v>1260</v>
      </c>
      <c r="C32" s="36" t="str">
        <f>VLOOKUP(E32,'3. Column Info'!B$197:E$604,4,FALSE)</f>
        <v>WDD = Weighted Delay Days. Indicates the amount-weighted average days of delay beyond the agreed payment term. A WDD of 5.2 days means that customers pay on average 5.2 days after the due date. An operational KPI in the Working Capital Framework. Formula: EDO − WAT = WDD.</v>
      </c>
      <c r="D32" s="36" t="s">
        <v>1391</v>
      </c>
      <c r="E32" s="36" t="s">
        <v>760</v>
      </c>
      <c r="F32" s="36" t="s">
        <v>765</v>
      </c>
      <c r="G32" s="36" t="s">
        <v>1392</v>
      </c>
      <c r="H32" s="2" t="s">
        <v>1376</v>
      </c>
      <c r="I32" s="36"/>
      <c r="J32" s="36"/>
      <c r="K32" s="36"/>
    </row>
    <row r="33" spans="1:11" ht="100.15" customHeight="1">
      <c r="A33" s="36" t="s">
        <v>808</v>
      </c>
      <c r="B33" s="2" t="s">
        <v>123</v>
      </c>
      <c r="C33" s="36" t="str">
        <f>VLOOKUP(E33,'3. Column Info'!B$197:E$604,4,FALSE)</f>
        <v>The total invoiced quantity (in KG) before deduction of credit memos and returns, as recorded in SAP Profitability Analysis (CO-PA). Starting figure of the CO-PA revenue calculation.</v>
      </c>
      <c r="D33" s="38" t="s">
        <v>1393</v>
      </c>
      <c r="E33" s="36" t="s">
        <v>806</v>
      </c>
      <c r="F33" s="36" t="s">
        <v>811</v>
      </c>
      <c r="G33" s="36" t="s">
        <v>1394</v>
      </c>
      <c r="H33" s="2" t="s">
        <v>105</v>
      </c>
      <c r="I33" s="36"/>
      <c r="J33" s="36"/>
      <c r="K33" s="36"/>
    </row>
    <row r="34" spans="1:11" ht="100.15" customHeight="1">
      <c r="A34" s="36" t="s">
        <v>814</v>
      </c>
      <c r="B34" s="2" t="s">
        <v>123</v>
      </c>
      <c r="C34" s="36" t="str">
        <f>VLOOKUP(E34,'3. Column Info'!B$197:E$604,4,FALSE)</f>
        <v>The total invoiced revenue (gross revenues) before deduction of discounts, bonuses and other revenue deductions, recorded in CO-PA. Starting point of the revenue calculation in the contribution margin scheme.</v>
      </c>
      <c r="D34" s="36" t="s">
        <v>1395</v>
      </c>
      <c r="E34" s="36" t="s">
        <v>812</v>
      </c>
      <c r="F34" s="36" t="s">
        <v>817</v>
      </c>
      <c r="G34" s="36" t="s">
        <v>1396</v>
      </c>
      <c r="H34" s="2" t="s">
        <v>105</v>
      </c>
      <c r="I34" s="36"/>
      <c r="J34" s="36"/>
      <c r="K34" s="36"/>
    </row>
    <row r="35" spans="1:11" ht="100.15" customHeight="1">
      <c r="A35" s="36" t="s">
        <v>820</v>
      </c>
      <c r="B35" s="2" t="s">
        <v>123</v>
      </c>
      <c r="C35" s="36" t="str">
        <f>VLOOKUP(E35,'3. Column Info'!B$197:E$604,4,FALSE)</f>
        <v>Net Sales less sales adjustments, represents revenue after application of sales deductions and sales adjustments within CO-PA reporting.</v>
      </c>
      <c r="D35" s="36" t="s">
        <v>1397</v>
      </c>
      <c r="E35" s="36" t="s">
        <v>818</v>
      </c>
      <c r="F35" s="36" t="s">
        <v>822</v>
      </c>
      <c r="G35" s="36" t="s">
        <v>1398</v>
      </c>
      <c r="H35" s="2" t="s">
        <v>105</v>
      </c>
      <c r="I35" s="36"/>
      <c r="J35" s="36"/>
      <c r="K35" s="36"/>
    </row>
    <row r="36" spans="1:11" ht="100.15" customHeight="1">
      <c r="A36" s="36" t="s">
        <v>825</v>
      </c>
      <c r="B36" s="2" t="s">
        <v>123</v>
      </c>
      <c r="C36" s="36" t="str">
        <f>VLOOKUP(E36,'3. Column Info'!B$197:E$604,4,FALSE)</f>
        <v xml:space="preserve">Gross Sales less sales deductions. </v>
      </c>
      <c r="D36" s="2" t="s">
        <v>1399</v>
      </c>
      <c r="E36" s="36" t="s">
        <v>823</v>
      </c>
      <c r="F36" s="36" t="s">
        <v>827</v>
      </c>
      <c r="G36" s="36" t="s">
        <v>1400</v>
      </c>
      <c r="H36" s="2" t="s">
        <v>105</v>
      </c>
      <c r="I36" s="36"/>
      <c r="J36" s="36"/>
      <c r="K36" s="36"/>
    </row>
    <row r="37" spans="1:11" ht="100.15" customHeight="1">
      <c r="A37" s="36" t="s">
        <v>830</v>
      </c>
      <c r="B37" s="2" t="s">
        <v>123</v>
      </c>
      <c r="C37" s="36" t="str">
        <f>VLOOKUP(E37,'3. Column Info'!B$197:E$604,4,FALSE)</f>
        <v>Correction postings to revenue in CO-PA, e.g. quantity corrections, price corrections of retrospectively posted conditions or periodic revaluations. Reported between Net Proceeds and Net Sales.</v>
      </c>
      <c r="D37" s="36" t="s">
        <v>1401</v>
      </c>
      <c r="E37" s="36" t="s">
        <v>828</v>
      </c>
      <c r="F37" s="36" t="s">
        <v>832</v>
      </c>
      <c r="G37" s="36" t="s">
        <v>1402</v>
      </c>
      <c r="H37" s="2" t="s">
        <v>105</v>
      </c>
      <c r="I37" s="36"/>
      <c r="J37" s="36"/>
      <c r="K37" s="36"/>
    </row>
    <row r="38" spans="1:11" ht="100.15" customHeight="1">
      <c r="A38" s="36" t="s">
        <v>835</v>
      </c>
      <c r="B38" s="2" t="s">
        <v>123</v>
      </c>
      <c r="C38" s="36" t="str">
        <f>VLOOKUP(E38,'3. Column Info'!B$197:E$604,4,FALSE)</f>
        <v xml:space="preserve">All deductions from gross sales in CO-PA, e.g. customer discounts, volume discounts, bonuses, cash discounts and commissions. </v>
      </c>
      <c r="D38" s="36" t="s">
        <v>1403</v>
      </c>
      <c r="E38" s="36" t="s">
        <v>833</v>
      </c>
      <c r="F38" s="36" t="s">
        <v>837</v>
      </c>
      <c r="G38" s="36" t="s">
        <v>1404</v>
      </c>
      <c r="H38" s="2" t="s">
        <v>105</v>
      </c>
      <c r="I38" s="36"/>
      <c r="J38" s="36"/>
      <c r="K38" s="36"/>
    </row>
    <row r="39" spans="1:11" ht="100.15" customHeight="1">
      <c r="A39" s="36" t="s">
        <v>1405</v>
      </c>
      <c r="B39" s="2" t="s">
        <v>123</v>
      </c>
      <c r="C39" s="36" t="str">
        <f>VLOOKUP(E39,'3. Column Info'!B$197:E$604,4,FALSE)</f>
        <v>Net proceeds less variable product Costs. Central steering indicator for portfolio decisions and pricing (DICE process).</v>
      </c>
      <c r="D39" s="36" t="s">
        <v>1406</v>
      </c>
      <c r="E39" s="2" t="s">
        <v>859</v>
      </c>
      <c r="F39" s="36" t="s">
        <v>864</v>
      </c>
      <c r="G39" s="36" t="s">
        <v>1407</v>
      </c>
      <c r="H39" s="2" t="s">
        <v>111</v>
      </c>
      <c r="I39" s="36"/>
      <c r="J39" s="36"/>
      <c r="K39" s="36"/>
    </row>
    <row r="40" spans="1:11" ht="100.15" customHeight="1">
      <c r="A40" s="36" t="s">
        <v>1408</v>
      </c>
      <c r="B40" s="2" t="s">
        <v>123</v>
      </c>
      <c r="C40" s="36" t="str">
        <f>VLOOKUP(E40,'3. Column Info'!B$197:E$604,4,FALSE)</f>
        <v>Consolidated Marginal Income I less  fix Total Manufacturing Costs, represents profitability after considering fixed manufacturing costs.</v>
      </c>
      <c r="D40" s="36" t="s">
        <v>1409</v>
      </c>
      <c r="E40" s="2" t="s">
        <v>853</v>
      </c>
      <c r="F40" s="36" t="s">
        <v>1410</v>
      </c>
      <c r="G40" s="2" t="s">
        <v>1411</v>
      </c>
      <c r="H40" s="2" t="s">
        <v>111</v>
      </c>
      <c r="I40" s="36"/>
      <c r="J40" s="36"/>
      <c r="K40" s="36"/>
    </row>
    <row r="41" spans="1:11" ht="100.15" customHeight="1">
      <c r="A41" s="36" t="s">
        <v>867</v>
      </c>
      <c r="B41" s="2" t="s">
        <v>123</v>
      </c>
      <c r="C41" s="36" t="str">
        <f>VLOOKUP(E41,'3. Column Info'!B$197:E$604,4,FALSE)</f>
        <v>Gross sales on a consolidated COSMOS basis. Corresponds to the invoiced revenue from external sales (approx. 99% of total sales) before sales deductions are subtracted. Based on CO-PA data, enriched by COSMOS consolidation logic.</v>
      </c>
      <c r="D41" s="36" t="s">
        <v>1412</v>
      </c>
      <c r="E41" s="2" t="s">
        <v>865</v>
      </c>
      <c r="F41" s="36" t="s">
        <v>870</v>
      </c>
      <c r="G41" s="2" t="s">
        <v>1413</v>
      </c>
      <c r="H41" s="2" t="s">
        <v>111</v>
      </c>
      <c r="I41" s="36"/>
      <c r="J41" s="36"/>
      <c r="K41" s="36"/>
    </row>
    <row r="42" spans="1:11" ht="100.15" customHeight="1">
      <c r="A42" s="36" t="s">
        <v>873</v>
      </c>
      <c r="B42" s="2" t="s">
        <v>123</v>
      </c>
      <c r="C42" s="36" t="str">
        <f>VLOOKUP(E42,'3. Column Info'!B$197:E$604,4,FALSE)</f>
        <v>The total quantity (in KG) of all sales on a COSMOS basis, including internal (intercompany) and external deliveries. "in+ex" stands for internal + external. Used as the volume basis for the calculation of unit costs (e.g. Product Costs, Var./KG).</v>
      </c>
      <c r="D42" s="36" t="s">
        <v>1414</v>
      </c>
      <c r="E42" s="36" t="s">
        <v>871</v>
      </c>
      <c r="F42" s="36" t="s">
        <v>876</v>
      </c>
      <c r="G42" s="2" t="s">
        <v>1415</v>
      </c>
      <c r="H42" s="2" t="s">
        <v>111</v>
      </c>
      <c r="I42" s="36"/>
      <c r="J42" s="36"/>
      <c r="K42" s="36"/>
    </row>
    <row r="43" spans="1:11" ht="100.15" customHeight="1">
      <c r="A43" s="36" t="s">
        <v>879</v>
      </c>
      <c r="B43" s="2" t="s">
        <v>123</v>
      </c>
      <c r="C43" s="36" t="str">
        <f>VLOOKUP(E43,'3. Column Info'!B$197:E$604,4,FALSE)</f>
        <v>Net sales less sales adjustments on a consolidated COSMOS basis, represents revenue after application of sales deductions and sales adjustments</v>
      </c>
      <c r="D43" s="36" t="s">
        <v>1416</v>
      </c>
      <c r="E43" s="36" t="s">
        <v>877</v>
      </c>
      <c r="F43" s="36" t="s">
        <v>882</v>
      </c>
      <c r="G43" s="2" t="s">
        <v>1417</v>
      </c>
      <c r="H43" s="2" t="s">
        <v>111</v>
      </c>
      <c r="I43" s="36"/>
      <c r="J43" s="36"/>
      <c r="K43" s="36"/>
    </row>
    <row r="44" spans="1:11" ht="100.15" customHeight="1">
      <c r="A44" s="36" t="s">
        <v>885</v>
      </c>
      <c r="B44" s="2" t="s">
        <v>123</v>
      </c>
      <c r="C44" s="36" t="str">
        <f>VLOOKUP(E44,'3. Column Info'!B$197:E$604,4,FALSE)</f>
        <v>Gross sales less Sales deductions on a COSMOS basis. Corresponds to the final net sales after all revenue deductions and corrections in the consolidated margin reporting.</v>
      </c>
      <c r="D44" s="36" t="s">
        <v>1418</v>
      </c>
      <c r="E44" s="36" t="s">
        <v>883</v>
      </c>
      <c r="F44" s="36" t="s">
        <v>887</v>
      </c>
      <c r="G44" s="2" t="s">
        <v>1419</v>
      </c>
      <c r="H44" s="2" t="s">
        <v>111</v>
      </c>
      <c r="I44" s="36"/>
      <c r="J44" s="36"/>
      <c r="K44" s="36"/>
    </row>
    <row r="45" spans="1:11" ht="100.15" customHeight="1">
      <c r="A45" s="36" t="s">
        <v>1420</v>
      </c>
      <c r="B45" s="2" t="s">
        <v>123</v>
      </c>
      <c r="C45" s="36" t="str">
        <f>VLOOKUP(E45,'3. Column Info'!B$197:E$604,4,FALSE)</f>
        <v>The consolidated variable production costs from COSMOS. Include direct material costs (DMC), variable direct product costs (DPC,var) as well as variable services and activities along the value chain.</v>
      </c>
      <c r="D45" s="36" t="s">
        <v>1421</v>
      </c>
      <c r="E45" s="36" t="s">
        <v>888</v>
      </c>
      <c r="F45" s="36" t="s">
        <v>893</v>
      </c>
      <c r="G45" s="2" t="s">
        <v>1422</v>
      </c>
      <c r="H45" s="2" t="s">
        <v>111</v>
      </c>
      <c r="I45" s="36"/>
      <c r="J45" s="36"/>
      <c r="K45" s="36"/>
    </row>
    <row r="46" spans="1:11" ht="100.15" customHeight="1">
      <c r="A46" s="36" t="s">
        <v>1423</v>
      </c>
      <c r="B46" s="2" t="s">
        <v>123</v>
      </c>
      <c r="C46" s="36" t="str">
        <f>VLOOKUP(E46,'3. Column Info'!B$197:E$604,4,FALSE)</f>
        <v>Correction postings to revenue on a COSMOS basis. Corresponds in content to the CO-PA Sales Adjustments, but in the consolidated COSMOS context. Reported between Net Proceeds and Net Sales.</v>
      </c>
      <c r="D46" s="36" t="s">
        <v>1424</v>
      </c>
      <c r="E46" s="36" t="s">
        <v>894</v>
      </c>
      <c r="F46" s="36" t="s">
        <v>1425</v>
      </c>
      <c r="G46" s="2" t="s">
        <v>1426</v>
      </c>
      <c r="H46" s="2" t="s">
        <v>111</v>
      </c>
      <c r="I46" s="36"/>
      <c r="J46" s="36"/>
      <c r="K46" s="36"/>
    </row>
    <row r="47" spans="1:11" ht="100.15" customHeight="1">
      <c r="A47" s="36" t="s">
        <v>902</v>
      </c>
      <c r="B47" s="2" t="s">
        <v>123</v>
      </c>
      <c r="C47" s="36" t="str">
        <f>VLOOKUP(E47,'3. Column Info'!B$197:E$604,4,FALSE)</f>
        <v>Sales deductions on a consolidated COSMOS basis. Originate from the unconsolidated CO-PA dataset (discounts, bonuses, cash discounts, commissions) and flow unchanged into the COSMOS calculation.</v>
      </c>
      <c r="D47" s="36" t="s">
        <v>1427</v>
      </c>
      <c r="E47" s="36" t="s">
        <v>900</v>
      </c>
      <c r="F47" s="36" t="s">
        <v>904</v>
      </c>
      <c r="G47" s="2" t="s">
        <v>1407</v>
      </c>
      <c r="H47" s="2" t="s">
        <v>111</v>
      </c>
      <c r="I47" s="36"/>
      <c r="J47" s="36"/>
      <c r="K47" s="36"/>
    </row>
    <row r="48" spans="1:11" ht="100.15" customHeight="1">
      <c r="A48" s="36" t="s">
        <v>1428</v>
      </c>
      <c r="B48" s="2" t="s">
        <v>123</v>
      </c>
      <c r="C48" s="36" t="str">
        <f>VLOOKUP(E48,'3. Column Info'!B$197:E$604,4,FALSE)</f>
        <v>The consolidated fixed production costs (DPC,fixed) of all client companies involved in manufacturing. Include fixed direct product costs along the entire internal value chain (Manufacturing Company A → B → Sales Company C). Relevant for the calculation of consolidated marginal income II (MI2).</v>
      </c>
      <c r="D48" s="36" t="s">
        <v>1429</v>
      </c>
      <c r="E48" s="36" t="s">
        <v>905</v>
      </c>
      <c r="F48" s="36" t="s">
        <v>910</v>
      </c>
      <c r="G48" s="2" t="s">
        <v>1430</v>
      </c>
      <c r="H48" s="2" t="s">
        <v>111</v>
      </c>
      <c r="I48" s="36"/>
      <c r="J48" s="36"/>
      <c r="K48" s="36"/>
    </row>
    <row r="49" spans="1:11" ht="100.15" customHeight="1">
      <c r="A49" s="36" t="s">
        <v>1431</v>
      </c>
      <c r="B49" s="36" t="s">
        <v>117</v>
      </c>
      <c r="C49" s="36" t="e">
        <f>VLOOKUP(E49,'3. Column Info'!B$197:E$604,4,FALSE)</f>
        <v>#N/A</v>
      </c>
      <c r="D49" s="36" t="s">
        <v>1432</v>
      </c>
      <c r="E49" s="2" t="s">
        <v>1224</v>
      </c>
      <c r="F49" s="36" t="s">
        <v>1433</v>
      </c>
      <c r="G49" s="2" t="s">
        <v>1434</v>
      </c>
      <c r="H49" s="2" t="s">
        <v>117</v>
      </c>
      <c r="I49" s="36"/>
      <c r="J49" s="36"/>
      <c r="K49" s="36"/>
    </row>
    <row r="50" spans="1:11" ht="100.15" customHeight="1">
      <c r="A50" s="36" t="s">
        <v>1435</v>
      </c>
      <c r="B50" s="36" t="s">
        <v>117</v>
      </c>
      <c r="C50" s="36" t="str">
        <f>VLOOKUP(E50,'3. Column Info'!B$197:E$604,4,FALSE)</f>
        <v>Number of deliveries that were delivered both on time and in full quantity. Numerator for the OTIF rate. A delivery is only considered OTIF if both conditions are fulfilled simultaneously.</v>
      </c>
      <c r="D50" s="36" t="s">
        <v>1436</v>
      </c>
      <c r="E50" s="36" t="s">
        <v>1038</v>
      </c>
      <c r="F50" s="36" t="s">
        <v>1044</v>
      </c>
      <c r="G50" s="2" t="s">
        <v>1437</v>
      </c>
      <c r="H50" s="2" t="s">
        <v>117</v>
      </c>
      <c r="I50" s="36"/>
      <c r="J50" s="36"/>
      <c r="K50" s="36"/>
    </row>
    <row r="51" spans="1:11" ht="100.15" customHeight="1">
      <c r="A51" s="36" t="s">
        <v>1438</v>
      </c>
      <c r="B51" s="36" t="s">
        <v>117</v>
      </c>
      <c r="C51" s="36" t="str">
        <f>VLOOKUP(E51,'3. Column Info'!B$197:E$604,4,FALSE)</f>
        <v>Number of deliveries where the actual goods issue (Actual GI Date) occurred after the planned goods issue date (Plan. goods is. date). Identifies delays in the internal dispatch process as a root cause of OTIF deviations.</v>
      </c>
      <c r="D51" s="36" t="s">
        <v>1439</v>
      </c>
      <c r="E51" s="36" t="s">
        <v>1045</v>
      </c>
      <c r="F51" s="36" t="s">
        <v>1440</v>
      </c>
      <c r="G51" s="2" t="s">
        <v>1441</v>
      </c>
      <c r="H51" s="2" t="s">
        <v>117</v>
      </c>
      <c r="I51" s="36"/>
      <c r="J51" s="36"/>
      <c r="K51" s="36"/>
    </row>
    <row r="52" spans="1:11" ht="100.15" customHeight="1">
      <c r="A52" s="36" t="s">
        <v>1442</v>
      </c>
      <c r="B52" s="36" t="s">
        <v>117</v>
      </c>
      <c r="C52" s="36" t="str">
        <f>VLOOKUP(E52,'3. Column Info'!B$197:E$604,4,FALSE)</f>
        <v xml:space="preserve">Number of deliveries that were late and delivered in full quantity. </v>
      </c>
      <c r="D52" s="36" t="s">
        <v>1443</v>
      </c>
      <c r="E52" s="36" t="s">
        <v>1051</v>
      </c>
      <c r="F52" s="36" t="s">
        <v>1444</v>
      </c>
      <c r="G52" s="2" t="s">
        <v>1445</v>
      </c>
      <c r="H52" s="2" t="s">
        <v>117</v>
      </c>
      <c r="I52" s="36"/>
      <c r="J52" s="36"/>
      <c r="K52" s="36"/>
    </row>
    <row r="53" spans="1:11" ht="100.15" customHeight="1">
      <c r="A53" s="36" t="s">
        <v>1446</v>
      </c>
      <c r="B53" s="36" t="s">
        <v>117</v>
      </c>
      <c r="C53" s="36" t="str">
        <f>VLOOKUP(E53,'3. Column Info'!B$197:E$604,4,FALSE)</f>
        <v>Number of deliveries that were late and not delivered in full quantity (Not In Full). NIF = Not In Full. Sub-category for combined quantity and schedule deviations in OTIF reporting. Worst-case category in the OTIF framework.</v>
      </c>
      <c r="D53" s="36" t="s">
        <v>1447</v>
      </c>
      <c r="E53" s="36" t="s">
        <v>1056</v>
      </c>
      <c r="F53" s="36" t="s">
        <v>1448</v>
      </c>
      <c r="G53" s="2" t="s">
        <v>1449</v>
      </c>
      <c r="H53" s="2" t="s">
        <v>117</v>
      </c>
      <c r="I53" s="36"/>
      <c r="J53" s="36"/>
      <c r="K53" s="36"/>
    </row>
    <row r="54" spans="1:11" ht="100.15" customHeight="1">
      <c r="A54" s="36" t="s">
        <v>1450</v>
      </c>
      <c r="B54" s="36" t="s">
        <v>117</v>
      </c>
      <c r="C54" s="36" t="str">
        <f>VLOOKUP(E54,'3. Column Info'!B$197:E$604,4,FALSE)</f>
        <v>Number of deliveries where order creation (Order Creation) occurred too late and thereby contributed to the overall delay. Identifies administrative delays in order management as an OTIF root cause.</v>
      </c>
      <c r="D54" s="36" t="s">
        <v>1451</v>
      </c>
      <c r="E54" s="36" t="s">
        <v>1062</v>
      </c>
      <c r="F54" s="36" t="s">
        <v>1452</v>
      </c>
      <c r="G54" s="2" t="s">
        <v>1453</v>
      </c>
      <c r="H54" s="2" t="s">
        <v>117</v>
      </c>
      <c r="I54" s="36"/>
      <c r="J54" s="36"/>
      <c r="K54" s="36"/>
    </row>
    <row r="55" spans="1:11" ht="100.15" customHeight="1">
      <c r="A55" s="36" t="s">
        <v>1454</v>
      </c>
      <c r="B55" s="36" t="s">
        <v>117</v>
      </c>
      <c r="C55" s="36" t="str">
        <f>VLOOKUP(E55,'3. Column Info'!B$197:E$604,4,FALSE)</f>
        <v>Number of deliveries where transport (carrier/freight forwarder) was identified as the cause of the delay. Used for transport service provider evaluation and carrier performance analysis.</v>
      </c>
      <c r="D55" s="36" t="s">
        <v>1455</v>
      </c>
      <c r="E55" s="36" t="s">
        <v>1068</v>
      </c>
      <c r="F55" s="36" t="s">
        <v>1073</v>
      </c>
      <c r="G55" s="2" t="s">
        <v>1456</v>
      </c>
      <c r="H55" s="2" t="s">
        <v>117</v>
      </c>
      <c r="I55" s="36"/>
      <c r="J55" s="36"/>
      <c r="K55" s="36"/>
    </row>
    <row r="56" spans="1:11" ht="100.15" customHeight="1">
      <c r="A56" s="36" t="s">
        <v>1457</v>
      </c>
      <c r="B56" s="36" t="s">
        <v>117</v>
      </c>
      <c r="C56" s="36" t="str">
        <f>VLOOKUP(E56,'3. Column Info'!B$197:E$604,4,FALSE)</f>
        <v>Number of deliveries where the delivered quantity was less than the confirmed/ordered quantity, regardless of delivery timing. Sub-component of the OTIF KPI for identifying quantity shortfalls.</v>
      </c>
      <c r="D56" s="36" t="s">
        <v>1458</v>
      </c>
      <c r="E56" s="36" t="s">
        <v>1074</v>
      </c>
      <c r="F56" s="36" t="s">
        <v>1078</v>
      </c>
      <c r="G56" s="2" t="s">
        <v>1459</v>
      </c>
      <c r="H56" s="2" t="s">
        <v>117</v>
      </c>
      <c r="I56" s="36"/>
      <c r="J56" s="36"/>
      <c r="K56" s="36"/>
    </row>
    <row r="57" spans="1:11" ht="100.15" customHeight="1">
      <c r="A57" s="36" t="s">
        <v>1460</v>
      </c>
      <c r="B57" s="36" t="s">
        <v>117</v>
      </c>
      <c r="C57" s="36" t="str">
        <f>VLOOKUP(E57,'3. Column Info'!B$197:E$604,4,FALSE)</f>
        <v>Number of deliveries that arrived at the customer on or before the agreed delivery date, regardless of the quantity delivered. Sub-component of the OT8IF KPI.</v>
      </c>
      <c r="D57" s="36" t="s">
        <v>1461</v>
      </c>
      <c r="E57" s="36" t="s">
        <v>1079</v>
      </c>
      <c r="F57" s="36" t="s">
        <v>1462</v>
      </c>
      <c r="G57" s="2" t="s">
        <v>1463</v>
      </c>
      <c r="H57" s="2" t="s">
        <v>117</v>
      </c>
      <c r="I57" s="36"/>
      <c r="J57" s="36"/>
      <c r="K57" s="36"/>
    </row>
    <row r="58" spans="1:11" ht="100.15" customHeight="1">
      <c r="A58" s="36" t="s">
        <v>1464</v>
      </c>
      <c r="B58" s="36" t="s">
        <v>117</v>
      </c>
      <c r="C58" s="36" t="str">
        <f>VLOOKUP(E58,'3. Column Info'!B$197:E$604,4,FALSE)</f>
        <v>The total number of all evaluated deliveries in the reporting period. Denominator for the calculation of the OTIF rate: OTIF% = # OTIF / # total deliveries × 100.</v>
      </c>
      <c r="D58" s="36" t="s">
        <v>1465</v>
      </c>
      <c r="E58" s="36" t="s">
        <v>1084</v>
      </c>
      <c r="F58" s="36" t="s">
        <v>1088</v>
      </c>
      <c r="G58" s="2" t="s">
        <v>1466</v>
      </c>
      <c r="H58" s="2" t="s">
        <v>117</v>
      </c>
      <c r="I58" s="36"/>
      <c r="J58" s="36"/>
      <c r="K58" s="36"/>
    </row>
    <row r="59" spans="1:11" ht="100.15" customHeight="1">
      <c r="A59" s="36" t="s">
        <v>1467</v>
      </c>
      <c r="B59" s="36" t="s">
        <v>117</v>
      </c>
      <c r="C59" s="36" t="str">
        <f>VLOOKUP(E59,'3. Column Info'!B$197:E$604,4,FALSE)</f>
        <v>Total number of all deliveries that arrived at the customer after the agreed delivery date, regardless of quantity completeness.</v>
      </c>
      <c r="D59" s="36" t="s">
        <v>1468</v>
      </c>
      <c r="E59" s="36" t="s">
        <v>1089</v>
      </c>
      <c r="F59" s="36" t="s">
        <v>1469</v>
      </c>
      <c r="G59" s="2" t="s">
        <v>1470</v>
      </c>
      <c r="H59" s="2" t="s">
        <v>117</v>
      </c>
      <c r="I59" s="36"/>
      <c r="J59" s="36"/>
      <c r="K59" s="36"/>
    </row>
    <row r="60" spans="1:11" ht="100.15" customHeight="1">
      <c r="A60" s="36" t="s">
        <v>1471</v>
      </c>
      <c r="B60" s="36" t="s">
        <v>117</v>
      </c>
      <c r="C60" s="36" t="str">
        <f>VLOOKUP(E60,'3. Column Info'!B$197:E$604,4,FALSE)</f>
        <v>Count of all deliveries that are either late, not in full, or both. Includes Late-In-Full, On-Time-Not-In-Full, and Late-Not-In-Full deliveries. Each delivery is counted only once.</v>
      </c>
      <c r="D60" s="36" t="s">
        <v>1472</v>
      </c>
      <c r="E60" s="36" t="s">
        <v>1094</v>
      </c>
      <c r="F60" s="36" t="s">
        <v>1473</v>
      </c>
      <c r="G60" s="2" t="s">
        <v>1474</v>
      </c>
      <c r="H60" s="2" t="s">
        <v>117</v>
      </c>
      <c r="I60" s="36"/>
      <c r="J60" s="36"/>
      <c r="K60" s="36"/>
    </row>
    <row r="61" spans="1:11" ht="100.15" customHeight="1">
      <c r="A61" s="36" t="s">
        <v>1475</v>
      </c>
      <c r="B61" s="36" t="s">
        <v>117</v>
      </c>
      <c r="C61" s="36" t="str">
        <f>VLOOKUP(E61,'3. Column Info'!B$197:E$604,4,FALSE)</f>
        <v>The confirmed/agreed delivery quantity in kilograms from the customer order. Reference figure for the In-Full assessment: if the actually delivered quantity is ≥ agreed quantity, the delivery is classified as "In Full".</v>
      </c>
      <c r="D61" s="36" t="s">
        <v>1476</v>
      </c>
      <c r="E61" s="36" t="s">
        <v>1099</v>
      </c>
      <c r="F61" s="36" t="s">
        <v>1104</v>
      </c>
      <c r="G61" s="2" t="s">
        <v>1477</v>
      </c>
      <c r="H61" s="2" t="s">
        <v>117</v>
      </c>
      <c r="I61" s="36"/>
      <c r="J61" s="36"/>
      <c r="K61" s="36"/>
    </row>
    <row r="62" spans="1:11" ht="100.15" customHeight="1">
      <c r="A62" s="36" t="s">
        <v>1478</v>
      </c>
      <c r="B62" s="36" t="s">
        <v>117</v>
      </c>
      <c r="C62" s="36" t="str">
        <f>VLOOKUP(E62,'3. Column Info'!B$197:E$604,4,FALSE)</f>
        <v>The quantity actually delivered to the customer in kilograms. Compared against the agreed quantity (Agreed Quantity KG) to determine over- or underdeliveries.</v>
      </c>
      <c r="D62" s="36" t="s">
        <v>1479</v>
      </c>
      <c r="E62" s="36" t="s">
        <v>1105</v>
      </c>
      <c r="F62" s="36" t="s">
        <v>1110</v>
      </c>
      <c r="G62" s="2" t="s">
        <v>1480</v>
      </c>
      <c r="H62" s="2" t="s">
        <v>117</v>
      </c>
      <c r="I62" s="36"/>
      <c r="J62" s="36"/>
      <c r="K62" s="36"/>
    </row>
    <row r="63" spans="1:11" ht="100.15" customHeight="1">
      <c r="A63" s="36" t="s">
        <v>1481</v>
      </c>
      <c r="B63" s="36" t="s">
        <v>117</v>
      </c>
      <c r="C63" s="36" t="str">
        <f>VLOOKUP(E63,'3. Column Info'!B$197:E$604,4,FALSE)</f>
        <v>The quantity in kilograms by which a delivery exceeds the agreed quantity. Positive deviation from the Agreed Quantity. May be classified as OTIF-compliant or non-compliant depending on the customer agreement.</v>
      </c>
      <c r="D63" s="36" t="s">
        <v>1482</v>
      </c>
      <c r="E63" s="36" t="s">
        <v>1111</v>
      </c>
      <c r="F63" s="36" t="s">
        <v>1117</v>
      </c>
      <c r="G63" s="2" t="s">
        <v>1483</v>
      </c>
      <c r="H63" s="2" t="s">
        <v>117</v>
      </c>
      <c r="I63" s="36"/>
      <c r="J63" s="36"/>
      <c r="K63" s="36"/>
    </row>
    <row r="64" spans="1:11" ht="100.15" customHeight="1">
      <c r="A64" s="36" t="s">
        <v>1484</v>
      </c>
      <c r="B64" s="36" t="s">
        <v>117</v>
      </c>
      <c r="C64" s="36" t="str">
        <f>VLOOKUP(E64,'3. Column Info'!B$197:E$604,4,FALSE)</f>
        <v>The absolute difference between the actually delivered quantity and the agreed quantity in kilograms. Positive values indicate overdelivery; negative values indicate underdelivery.</v>
      </c>
      <c r="D64" s="36" t="s">
        <v>1485</v>
      </c>
      <c r="E64" s="36" t="s">
        <v>1118</v>
      </c>
      <c r="F64" s="36" t="s">
        <v>1123</v>
      </c>
      <c r="G64" s="2" t="s">
        <v>1486</v>
      </c>
      <c r="H64" s="2" t="s">
        <v>117</v>
      </c>
      <c r="I64" s="36"/>
      <c r="J64" s="36"/>
      <c r="K64" s="36"/>
    </row>
    <row r="65" spans="1:11" ht="100.15" customHeight="1">
      <c r="A65" s="36" t="s">
        <v>1487</v>
      </c>
      <c r="B65" s="36" t="s">
        <v>117</v>
      </c>
      <c r="C65" s="36" t="str">
        <f>VLOOKUP(E65,'3. Column Info'!B$197:E$604,4,FALSE)</f>
        <v>The quantity in kilograms by which a delivery falls short of the agreed quantity. Negative deviation from the Agreed Quantity. Leads to classification as "Not In Full" and thus to an OTIF failure.</v>
      </c>
      <c r="D65" s="36" t="s">
        <v>1488</v>
      </c>
      <c r="E65" s="36" t="s">
        <v>1124</v>
      </c>
      <c r="F65" s="36" t="s">
        <v>1130</v>
      </c>
      <c r="G65" s="2" t="s">
        <v>1489</v>
      </c>
      <c r="H65" s="2" t="s">
        <v>117</v>
      </c>
      <c r="I65" s="36"/>
      <c r="J65" s="36"/>
      <c r="K65" s="36"/>
    </row>
    <row r="66" spans="1:11" ht="100.15" customHeight="1">
      <c r="A66" s="36" t="s">
        <v>1490</v>
      </c>
      <c r="B66" s="36" t="s">
        <v>123</v>
      </c>
      <c r="C66" s="36" t="str">
        <f>VLOOKUP(E66,'3. Column Info'!B$197:E$604,4,FALSE)</f>
        <v>The total delivery quantity in kilograms recorded in delivery documents in the reporting period. Volume KPI in sales reporting, aggregatable by customer, product, region, etc.</v>
      </c>
      <c r="D66" s="36" t="s">
        <v>1491</v>
      </c>
      <c r="E66" s="36" t="s">
        <v>1208</v>
      </c>
      <c r="F66" s="36" t="s">
        <v>1212</v>
      </c>
      <c r="G66" s="2" t="s">
        <v>1492</v>
      </c>
      <c r="H66" s="2" t="s">
        <v>123</v>
      </c>
      <c r="I66" s="36"/>
      <c r="J66" s="36"/>
      <c r="K66" s="36"/>
    </row>
    <row r="67" spans="1:11" s="50" customFormat="1" ht="100.15" customHeight="1">
      <c r="A67" s="47" t="s">
        <v>1493</v>
      </c>
      <c r="B67" s="48" t="s">
        <v>123</v>
      </c>
      <c r="C67" s="48" t="str">
        <f>VLOOKUP(E67,'3. Column Info'!B$197:E$604,4,FALSE)</f>
        <v>The net value of a delivery line item in the respective document currency (DC). Starting figure for revenue analyses prior to currency conversion to EUR.</v>
      </c>
      <c r="D67" s="48" t="s">
        <v>1494</v>
      </c>
      <c r="E67" s="48" t="s">
        <v>1213</v>
      </c>
      <c r="F67" s="48" t="s">
        <v>1218</v>
      </c>
      <c r="G67" s="47" t="s">
        <v>1495</v>
      </c>
      <c r="H67" s="49" t="s">
        <v>123</v>
      </c>
      <c r="I67" s="48"/>
      <c r="J67" s="48"/>
      <c r="K67" s="48"/>
    </row>
    <row r="68" spans="1:11" ht="100.15" customHeight="1">
      <c r="A68" s="36" t="s">
        <v>1496</v>
      </c>
      <c r="B68" s="36" t="s">
        <v>123</v>
      </c>
      <c r="C68" s="36" t="str">
        <f>VLOOKUP(E68,'3. Column Info'!B$197:E$604,4,FALSE)</f>
        <v>The net value of a delivery line item in EUR, converted from the document currency at the applicable posting exchange rate. Standard reporting currency for all cross-dimensional revenue and margin KPIs in reporting. Aggregatable across all dimensions (customer, product, region, period).</v>
      </c>
      <c r="D68" s="36" t="s">
        <v>1497</v>
      </c>
      <c r="E68" s="36" t="s">
        <v>1219</v>
      </c>
      <c r="F68" s="36" t="s">
        <v>1223</v>
      </c>
      <c r="G68" s="2" t="s">
        <v>1498</v>
      </c>
      <c r="H68" s="2" t="s">
        <v>123</v>
      </c>
      <c r="I68" s="36"/>
      <c r="J68" s="36"/>
      <c r="K68" s="36"/>
    </row>
    <row r="70" spans="1:11" ht="20.100000000000001" customHeight="1">
      <c r="A70" s="51" t="s">
        <v>1499</v>
      </c>
      <c r="B70" s="70"/>
      <c r="C70" s="70"/>
      <c r="D70" s="70"/>
      <c r="E70" s="70"/>
      <c r="F70" s="70"/>
      <c r="G70" s="70"/>
      <c r="H70" s="70"/>
      <c r="I70" s="70"/>
      <c r="J70" s="70"/>
      <c r="K70" s="70"/>
    </row>
  </sheetData>
  <autoFilter ref="A5:K68" xr:uid="{00000000-0001-0000-0300-000000000000}"/>
  <mergeCells count="4">
    <mergeCell ref="A2:K2"/>
    <mergeCell ref="A70:K70"/>
    <mergeCell ref="A1:K1"/>
    <mergeCell ref="A3:K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zoomScale="145" zoomScaleNormal="145" workbookViewId="0">
      <pane ySplit="4" topLeftCell="A5" activePane="bottomLeft" state="frozen"/>
      <selection pane="bottomLeft" activeCell="C14" sqref="C14"/>
      <selection activeCell="B52" sqref="B52"/>
    </sheetView>
  </sheetViews>
  <sheetFormatPr defaultColWidth="9.140625" defaultRowHeight="14.45"/>
  <cols>
    <col min="1" max="1" width="6" customWidth="1"/>
    <col min="2" max="2" width="16" customWidth="1"/>
    <col min="3" max="3" width="38" customWidth="1"/>
    <col min="4" max="4" width="28" customWidth="1"/>
    <col min="5" max="5" width="45" customWidth="1"/>
    <col min="6" max="6" width="20" customWidth="1"/>
    <col min="7" max="7" width="55" customWidth="1"/>
    <col min="8" max="8" width="38" customWidth="1"/>
    <col min="9" max="9" width="30" customWidth="1"/>
  </cols>
  <sheetData>
    <row r="1" spans="1:9" ht="28.15" customHeight="1">
      <c r="A1" s="53" t="s">
        <v>1500</v>
      </c>
      <c r="B1" s="70"/>
      <c r="C1" s="70"/>
      <c r="D1" s="70"/>
      <c r="E1" s="70"/>
      <c r="F1" s="70"/>
      <c r="G1" s="70"/>
      <c r="H1" s="70"/>
      <c r="I1" s="70"/>
    </row>
    <row r="2" spans="1:9" ht="18" customHeight="1">
      <c r="A2" s="52" t="s">
        <v>1501</v>
      </c>
      <c r="B2" s="70"/>
      <c r="C2" s="70"/>
      <c r="D2" s="70"/>
      <c r="E2" s="70"/>
      <c r="F2" s="70"/>
      <c r="G2" s="70"/>
      <c r="H2" s="70"/>
      <c r="I2" s="70"/>
    </row>
    <row r="3" spans="1:9" ht="42" customHeight="1">
      <c r="A3" s="51" t="s">
        <v>1502</v>
      </c>
      <c r="B3" s="70"/>
      <c r="C3" s="70"/>
      <c r="D3" s="70"/>
      <c r="E3" s="70"/>
      <c r="F3" s="70"/>
      <c r="G3" s="70"/>
      <c r="H3" s="70"/>
      <c r="I3" s="70"/>
    </row>
    <row r="4" spans="1:9" ht="30" customHeight="1">
      <c r="A4" s="1" t="s">
        <v>1503</v>
      </c>
      <c r="B4" s="1" t="s">
        <v>1235</v>
      </c>
      <c r="C4" s="1" t="s">
        <v>1504</v>
      </c>
      <c r="D4" s="1" t="s">
        <v>1505</v>
      </c>
      <c r="E4" s="1" t="s">
        <v>1506</v>
      </c>
      <c r="F4" s="1" t="s">
        <v>1507</v>
      </c>
      <c r="G4" s="1" t="s">
        <v>1508</v>
      </c>
      <c r="H4" s="1" t="s">
        <v>1509</v>
      </c>
      <c r="I4" s="1" t="s">
        <v>1510</v>
      </c>
    </row>
    <row r="5" spans="1:9" ht="90" customHeight="1">
      <c r="A5" s="2">
        <v>1</v>
      </c>
      <c r="B5" s="2" t="s">
        <v>123</v>
      </c>
      <c r="C5" s="2" t="s">
        <v>1511</v>
      </c>
      <c r="D5" s="2" t="s">
        <v>1512</v>
      </c>
      <c r="E5" s="2" t="s">
        <v>1513</v>
      </c>
      <c r="F5" s="2" t="s">
        <v>825</v>
      </c>
      <c r="G5" s="2" t="s">
        <v>1514</v>
      </c>
      <c r="H5" s="2" t="s">
        <v>1515</v>
      </c>
      <c r="I5" s="2" t="s">
        <v>1516</v>
      </c>
    </row>
    <row r="6" spans="1:9" ht="90" customHeight="1">
      <c r="A6" s="2">
        <v>2</v>
      </c>
      <c r="B6" s="2" t="s">
        <v>123</v>
      </c>
      <c r="C6" s="2" t="s">
        <v>1517</v>
      </c>
      <c r="D6" s="2" t="s">
        <v>1512</v>
      </c>
      <c r="E6" s="2" t="s">
        <v>1518</v>
      </c>
      <c r="F6" s="2" t="s">
        <v>825</v>
      </c>
      <c r="G6" s="2" t="s">
        <v>1519</v>
      </c>
      <c r="H6" s="2" t="s">
        <v>1515</v>
      </c>
      <c r="I6" s="2" t="s">
        <v>1520</v>
      </c>
    </row>
    <row r="7" spans="1:9" ht="90" customHeight="1">
      <c r="A7" s="2">
        <v>3</v>
      </c>
      <c r="B7" s="2" t="s">
        <v>123</v>
      </c>
      <c r="C7" s="2" t="s">
        <v>1521</v>
      </c>
      <c r="D7" s="2" t="s">
        <v>1512</v>
      </c>
      <c r="E7" s="2" t="s">
        <v>1522</v>
      </c>
      <c r="F7" s="2" t="s">
        <v>825</v>
      </c>
      <c r="G7" s="2" t="s">
        <v>1523</v>
      </c>
      <c r="H7" s="2" t="s">
        <v>1515</v>
      </c>
      <c r="I7" s="2" t="s">
        <v>1524</v>
      </c>
    </row>
    <row r="8" spans="1:9" ht="90" customHeight="1">
      <c r="A8" s="2">
        <v>4</v>
      </c>
      <c r="B8" s="2" t="s">
        <v>1525</v>
      </c>
      <c r="C8" s="2" t="s">
        <v>1526</v>
      </c>
      <c r="D8" s="2" t="s">
        <v>1527</v>
      </c>
      <c r="E8" s="2" t="s">
        <v>1528</v>
      </c>
      <c r="F8" s="2" t="s">
        <v>1405</v>
      </c>
      <c r="G8" s="2" t="s">
        <v>1529</v>
      </c>
      <c r="H8" s="2" t="s">
        <v>1515</v>
      </c>
      <c r="I8" s="2" t="s">
        <v>1530</v>
      </c>
    </row>
    <row r="9" spans="1:9" ht="90" customHeight="1">
      <c r="A9" s="2">
        <v>5</v>
      </c>
      <c r="B9" s="2" t="s">
        <v>1525</v>
      </c>
      <c r="C9" s="36" t="s">
        <v>1531</v>
      </c>
      <c r="D9" s="2" t="s">
        <v>1527</v>
      </c>
      <c r="E9" s="2" t="s">
        <v>1532</v>
      </c>
      <c r="F9" s="2" t="s">
        <v>1405</v>
      </c>
      <c r="G9" s="2" t="s">
        <v>1533</v>
      </c>
      <c r="H9" s="2" t="s">
        <v>1515</v>
      </c>
      <c r="I9" s="2" t="s">
        <v>1534</v>
      </c>
    </row>
    <row r="10" spans="1:9" ht="90" customHeight="1">
      <c r="A10" s="2">
        <v>6</v>
      </c>
      <c r="B10" s="36" t="s">
        <v>1535</v>
      </c>
      <c r="C10" s="36" t="s">
        <v>1536</v>
      </c>
      <c r="D10" s="2" t="s">
        <v>1537</v>
      </c>
      <c r="E10" s="2" t="s">
        <v>1538</v>
      </c>
      <c r="F10" s="36" t="s">
        <v>1333</v>
      </c>
      <c r="G10" s="2" t="s">
        <v>1539</v>
      </c>
      <c r="H10" s="2" t="s">
        <v>1515</v>
      </c>
      <c r="I10" s="2" t="s">
        <v>1540</v>
      </c>
    </row>
    <row r="11" spans="1:9" ht="90" customHeight="1">
      <c r="A11" s="2">
        <v>7</v>
      </c>
      <c r="B11" s="36" t="s">
        <v>1535</v>
      </c>
      <c r="C11" s="36" t="s">
        <v>1541</v>
      </c>
      <c r="D11" s="2" t="s">
        <v>1537</v>
      </c>
      <c r="E11" s="2" t="s">
        <v>1542</v>
      </c>
      <c r="F11" s="2" t="s">
        <v>1490</v>
      </c>
      <c r="G11" s="2" t="s">
        <v>1543</v>
      </c>
      <c r="H11" s="2"/>
      <c r="I11" s="2"/>
    </row>
    <row r="12" spans="1:9" ht="90" customHeight="1">
      <c r="A12" s="2">
        <v>8</v>
      </c>
      <c r="B12" s="36" t="s">
        <v>1544</v>
      </c>
      <c r="C12" s="36" t="s">
        <v>1545</v>
      </c>
      <c r="D12" s="2" t="s">
        <v>94</v>
      </c>
      <c r="E12" s="2" t="s">
        <v>1546</v>
      </c>
      <c r="F12" s="2" t="s">
        <v>1325</v>
      </c>
      <c r="G12" s="2" t="s">
        <v>1547</v>
      </c>
      <c r="H12" s="2" t="s">
        <v>1515</v>
      </c>
      <c r="I12" s="2"/>
    </row>
    <row r="13" spans="1:9" ht="130.5" customHeight="1">
      <c r="A13" s="2">
        <v>9</v>
      </c>
      <c r="B13" s="2" t="s">
        <v>117</v>
      </c>
      <c r="C13" s="2" t="s">
        <v>1548</v>
      </c>
      <c r="D13" s="2" t="s">
        <v>1549</v>
      </c>
      <c r="E13" s="2" t="s">
        <v>1550</v>
      </c>
      <c r="F13" s="2" t="s">
        <v>1251</v>
      </c>
      <c r="G13" s="2" t="s">
        <v>1551</v>
      </c>
      <c r="H13" s="2" t="s">
        <v>1515</v>
      </c>
      <c r="I13" s="2"/>
    </row>
    <row r="14" spans="1:9" ht="87" customHeight="1">
      <c r="A14" s="2">
        <v>10</v>
      </c>
      <c r="B14" s="2" t="s">
        <v>1525</v>
      </c>
      <c r="C14" s="2" t="s">
        <v>1552</v>
      </c>
      <c r="D14" s="2" t="s">
        <v>1527</v>
      </c>
      <c r="E14" s="2" t="s">
        <v>1553</v>
      </c>
      <c r="F14" s="2" t="s">
        <v>1554</v>
      </c>
      <c r="G14" s="2" t="s">
        <v>1555</v>
      </c>
      <c r="H14" s="2" t="s">
        <v>1515</v>
      </c>
      <c r="I14" s="2"/>
    </row>
    <row r="15" spans="1:9" ht="23.1">
      <c r="A15" s="2">
        <v>11</v>
      </c>
      <c r="B15" s="36" t="s">
        <v>1535</v>
      </c>
      <c r="C15" s="36" t="s">
        <v>1556</v>
      </c>
      <c r="D15" s="2"/>
      <c r="E15" s="2"/>
      <c r="F15" s="2"/>
      <c r="G15" s="2"/>
      <c r="H15" s="2"/>
      <c r="I15" s="2"/>
    </row>
    <row r="16" spans="1:9" ht="23.1">
      <c r="A16" s="2">
        <v>12</v>
      </c>
      <c r="B16" s="36" t="s">
        <v>1544</v>
      </c>
      <c r="C16" s="36" t="s">
        <v>1557</v>
      </c>
      <c r="D16" s="2"/>
      <c r="E16" s="2"/>
      <c r="F16" s="2" t="s">
        <v>1558</v>
      </c>
      <c r="G16" s="2"/>
      <c r="H16" s="2"/>
      <c r="I16" s="2"/>
    </row>
    <row r="19" spans="1:9">
      <c r="A19" s="51" t="s">
        <v>1559</v>
      </c>
      <c r="B19" s="70"/>
      <c r="C19" s="70"/>
      <c r="D19" s="70"/>
      <c r="E19" s="70"/>
      <c r="F19" s="70"/>
      <c r="G19" s="70"/>
      <c r="H19" s="70"/>
      <c r="I19" s="70"/>
    </row>
  </sheetData>
  <mergeCells count="4">
    <mergeCell ref="A1:I1"/>
    <mergeCell ref="A3:I3"/>
    <mergeCell ref="A2:I2"/>
    <mergeCell ref="A19:I1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9"/>
  <sheetViews>
    <sheetView zoomScaleNormal="100" workbookViewId="0">
      <pane ySplit="5" topLeftCell="A6" activePane="bottomLeft" state="frozen"/>
      <selection pane="bottomLeft" activeCell="F6" sqref="F6"/>
      <selection activeCell="B52" sqref="B52"/>
    </sheetView>
  </sheetViews>
  <sheetFormatPr defaultColWidth="9.140625" defaultRowHeight="14.45"/>
  <cols>
    <col min="1" max="1" width="18.42578125" customWidth="1"/>
    <col min="2" max="2" width="20" customWidth="1"/>
    <col min="3" max="3" width="28" customWidth="1"/>
    <col min="4" max="4" width="55" customWidth="1"/>
    <col min="5" max="5" width="20" customWidth="1"/>
    <col min="6" max="6" width="45" customWidth="1"/>
    <col min="7" max="7" width="28" customWidth="1"/>
    <col min="8" max="8" width="14" customWidth="1"/>
    <col min="9" max="9" width="18" customWidth="1"/>
    <col min="10" max="10" width="25" customWidth="1"/>
    <col min="11" max="11" width="32" customWidth="1"/>
  </cols>
  <sheetData>
    <row r="1" spans="1:11" ht="28.15" customHeight="1">
      <c r="A1" s="53" t="s">
        <v>1560</v>
      </c>
      <c r="B1" s="70"/>
      <c r="C1" s="70"/>
      <c r="D1" s="70"/>
      <c r="E1" s="70"/>
      <c r="F1" s="70"/>
      <c r="G1" s="70"/>
      <c r="H1" s="70"/>
      <c r="I1" s="70"/>
      <c r="J1" s="70"/>
      <c r="K1" s="70"/>
    </row>
    <row r="2" spans="1:11" ht="18" customHeight="1">
      <c r="A2" s="52" t="s">
        <v>1561</v>
      </c>
      <c r="B2" s="70"/>
      <c r="C2" s="70"/>
      <c r="D2" s="70"/>
      <c r="E2" s="70"/>
      <c r="F2" s="70"/>
      <c r="G2" s="70"/>
      <c r="H2" s="70"/>
      <c r="I2" s="70"/>
      <c r="J2" s="70"/>
      <c r="K2" s="70"/>
    </row>
    <row r="3" spans="1:11" ht="48" customHeight="1">
      <c r="A3" s="51" t="s">
        <v>1562</v>
      </c>
      <c r="B3" s="70"/>
      <c r="C3" s="70"/>
      <c r="D3" s="70"/>
      <c r="E3" s="70"/>
      <c r="F3" s="70"/>
      <c r="G3" s="70"/>
      <c r="H3" s="70"/>
      <c r="I3" s="70"/>
      <c r="J3" s="70"/>
      <c r="K3" s="70"/>
    </row>
    <row r="4" spans="1:11" ht="48" customHeight="1">
      <c r="A4" s="16"/>
      <c r="B4" t="s">
        <v>5</v>
      </c>
      <c r="C4" t="s">
        <v>5</v>
      </c>
      <c r="E4" t="s">
        <v>5</v>
      </c>
      <c r="H4" t="s">
        <v>5</v>
      </c>
    </row>
    <row r="5" spans="1:11" ht="30" customHeight="1">
      <c r="A5" s="1" t="s">
        <v>1563</v>
      </c>
      <c r="B5" s="1" t="s">
        <v>1564</v>
      </c>
      <c r="C5" s="1" t="s">
        <v>1565</v>
      </c>
      <c r="D5" s="1" t="s">
        <v>1566</v>
      </c>
      <c r="E5" s="1" t="s">
        <v>1567</v>
      </c>
      <c r="F5" s="1" t="s">
        <v>1568</v>
      </c>
      <c r="G5" s="1" t="s">
        <v>1569</v>
      </c>
      <c r="H5" s="1" t="s">
        <v>1570</v>
      </c>
      <c r="I5" s="1" t="s">
        <v>1571</v>
      </c>
      <c r="J5" s="1" t="s">
        <v>1505</v>
      </c>
      <c r="K5" s="1" t="s">
        <v>92</v>
      </c>
    </row>
    <row r="6" spans="1:11" ht="188.25" customHeight="1">
      <c r="A6" s="45" t="s">
        <v>1572</v>
      </c>
      <c r="B6" s="25" t="s">
        <v>1573</v>
      </c>
      <c r="C6" s="45" t="s">
        <v>1574</v>
      </c>
      <c r="D6" s="44" t="s">
        <v>1575</v>
      </c>
      <c r="E6" s="44" t="s">
        <v>1576</v>
      </c>
      <c r="F6" s="26" t="s">
        <v>1577</v>
      </c>
      <c r="G6" s="44" t="s">
        <v>1578</v>
      </c>
      <c r="H6" s="2"/>
      <c r="I6" s="26" t="s">
        <v>1579</v>
      </c>
      <c r="J6" s="44" t="s">
        <v>106</v>
      </c>
      <c r="K6" s="2" t="s">
        <v>1580</v>
      </c>
    </row>
    <row r="7" spans="1:11" ht="90" customHeight="1">
      <c r="A7" s="45" t="s">
        <v>1581</v>
      </c>
      <c r="B7" s="25" t="s">
        <v>1582</v>
      </c>
      <c r="C7" s="45" t="s">
        <v>1583</v>
      </c>
      <c r="D7" s="44" t="s">
        <v>1584</v>
      </c>
      <c r="E7" s="44" t="s">
        <v>1585</v>
      </c>
      <c r="F7" s="44" t="s">
        <v>1586</v>
      </c>
      <c r="G7" s="44" t="s">
        <v>1578</v>
      </c>
      <c r="H7" s="2"/>
      <c r="I7" s="26" t="s">
        <v>1579</v>
      </c>
      <c r="J7" s="44" t="s">
        <v>112</v>
      </c>
      <c r="K7" s="2" t="s">
        <v>1587</v>
      </c>
    </row>
    <row r="8" spans="1:11" ht="90" customHeight="1">
      <c r="A8" s="45" t="s">
        <v>1588</v>
      </c>
      <c r="B8" s="25" t="s">
        <v>1490</v>
      </c>
      <c r="C8" s="45" t="s">
        <v>1589</v>
      </c>
      <c r="D8" s="44" t="s">
        <v>1590</v>
      </c>
      <c r="E8" s="44" t="s">
        <v>1591</v>
      </c>
      <c r="F8" s="44" t="s">
        <v>1592</v>
      </c>
      <c r="G8" s="44" t="s">
        <v>1593</v>
      </c>
      <c r="H8" s="2"/>
      <c r="I8" s="26" t="s">
        <v>1579</v>
      </c>
      <c r="J8" s="44" t="s">
        <v>123</v>
      </c>
      <c r="K8" s="2" t="s">
        <v>1594</v>
      </c>
    </row>
    <row r="9" spans="1:11" ht="139.5" customHeight="1">
      <c r="A9" s="45" t="s">
        <v>1595</v>
      </c>
      <c r="B9" s="25" t="s">
        <v>1596</v>
      </c>
      <c r="C9" s="45" t="s">
        <v>1597</v>
      </c>
      <c r="D9" s="44" t="s">
        <v>1598</v>
      </c>
      <c r="E9" s="44" t="s">
        <v>1599</v>
      </c>
      <c r="F9" s="44" t="s">
        <v>1600</v>
      </c>
      <c r="G9" s="44" t="s">
        <v>1601</v>
      </c>
      <c r="H9" s="36"/>
      <c r="I9" s="44" t="s">
        <v>1602</v>
      </c>
      <c r="J9" s="44" t="s">
        <v>1603</v>
      </c>
      <c r="K9" s="2" t="s">
        <v>1604</v>
      </c>
    </row>
    <row r="10" spans="1:11" ht="90" customHeight="1">
      <c r="A10" s="45" t="s">
        <v>1605</v>
      </c>
      <c r="B10" s="25" t="s">
        <v>1606</v>
      </c>
      <c r="C10" s="45" t="s">
        <v>1607</v>
      </c>
      <c r="D10" s="44" t="s">
        <v>1608</v>
      </c>
      <c r="E10" s="44" t="s">
        <v>1609</v>
      </c>
      <c r="F10" s="44" t="s">
        <v>1610</v>
      </c>
      <c r="G10" s="44" t="s">
        <v>1593</v>
      </c>
      <c r="H10" s="36"/>
      <c r="I10" s="44" t="s">
        <v>1579</v>
      </c>
      <c r="J10" s="44" t="s">
        <v>117</v>
      </c>
      <c r="K10" s="36" t="s">
        <v>1611</v>
      </c>
    </row>
    <row r="11" spans="1:11" ht="90" customHeight="1">
      <c r="A11" s="45" t="s">
        <v>1612</v>
      </c>
      <c r="B11" s="45" t="s">
        <v>1277</v>
      </c>
      <c r="C11" s="45" t="s">
        <v>1613</v>
      </c>
      <c r="D11" s="44" t="s">
        <v>1614</v>
      </c>
      <c r="E11" s="44" t="s">
        <v>1615</v>
      </c>
      <c r="F11" s="44" t="s">
        <v>1616</v>
      </c>
      <c r="G11" s="44" t="s">
        <v>1578</v>
      </c>
      <c r="H11" s="36"/>
      <c r="I11" s="44" t="s">
        <v>1579</v>
      </c>
      <c r="J11" s="44" t="s">
        <v>112</v>
      </c>
      <c r="K11" s="36" t="s">
        <v>1617</v>
      </c>
    </row>
    <row r="13" spans="1:11" ht="20.100000000000001" customHeight="1">
      <c r="A13" s="51" t="s">
        <v>1618</v>
      </c>
      <c r="B13" s="70"/>
      <c r="C13" s="70"/>
      <c r="D13" s="70"/>
      <c r="E13" s="70"/>
      <c r="F13" s="70"/>
      <c r="G13" s="70"/>
      <c r="H13" s="70"/>
      <c r="I13" s="70"/>
      <c r="J13" s="70"/>
      <c r="K13" s="70"/>
    </row>
    <row r="15" spans="1:11">
      <c r="A15" t="s">
        <v>1619</v>
      </c>
    </row>
    <row r="16" spans="1:11">
      <c r="A16" t="s">
        <v>1620</v>
      </c>
    </row>
    <row r="17" spans="1:1">
      <c r="A17" t="s">
        <v>1621</v>
      </c>
    </row>
    <row r="18" spans="1:1">
      <c r="A18" t="s">
        <v>1622</v>
      </c>
    </row>
    <row r="19" spans="1:1">
      <c r="A19" t="s">
        <v>1623</v>
      </c>
    </row>
  </sheetData>
  <mergeCells count="4">
    <mergeCell ref="A2:K2"/>
    <mergeCell ref="A13:K13"/>
    <mergeCell ref="A1:K1"/>
    <mergeCell ref="A3:K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
  <sheetViews>
    <sheetView workbookViewId="0">
      <pane ySplit="5" topLeftCell="A6" activePane="bottomLeft" state="frozen"/>
      <selection pane="bottomLeft" activeCell="G6" sqref="G6"/>
      <selection activeCell="B52" sqref="B52"/>
    </sheetView>
  </sheetViews>
  <sheetFormatPr defaultColWidth="9.140625" defaultRowHeight="14.45"/>
  <cols>
    <col min="1" max="1" width="6" bestFit="1" customWidth="1"/>
    <col min="2" max="2" width="15.85546875" bestFit="1" customWidth="1"/>
    <col min="3" max="3" width="23.42578125" bestFit="1" customWidth="1"/>
    <col min="4" max="4" width="31.85546875" bestFit="1" customWidth="1"/>
    <col min="5" max="5" width="13.42578125" bestFit="1" customWidth="1"/>
    <col min="6" max="7" width="38.140625" customWidth="1"/>
    <col min="8" max="8" width="12.5703125" bestFit="1" customWidth="1"/>
    <col min="9" max="9" width="28" customWidth="1"/>
    <col min="10" max="10" width="36.42578125" bestFit="1" customWidth="1"/>
    <col min="11" max="11" width="12.85546875" bestFit="1" customWidth="1"/>
  </cols>
  <sheetData>
    <row r="1" spans="1:11" ht="28.15" customHeight="1">
      <c r="A1" s="53" t="s">
        <v>1624</v>
      </c>
      <c r="B1" s="70"/>
      <c r="C1" s="70"/>
      <c r="D1" s="70"/>
      <c r="E1" s="70"/>
      <c r="F1" s="70"/>
      <c r="G1" s="70"/>
      <c r="H1" s="70"/>
      <c r="I1" s="70"/>
      <c r="J1" s="70"/>
      <c r="K1" s="70"/>
    </row>
    <row r="2" spans="1:11" ht="18" customHeight="1">
      <c r="A2" s="52" t="s">
        <v>1625</v>
      </c>
      <c r="B2" s="70"/>
      <c r="C2" s="70"/>
      <c r="D2" s="70"/>
      <c r="E2" s="70"/>
      <c r="F2" s="70"/>
      <c r="G2" s="70"/>
      <c r="H2" s="70"/>
      <c r="I2" s="70"/>
      <c r="J2" s="70"/>
      <c r="K2" s="70"/>
    </row>
    <row r="3" spans="1:11" ht="42" customHeight="1">
      <c r="A3" s="51" t="s">
        <v>1626</v>
      </c>
      <c r="B3" s="70"/>
      <c r="C3" s="70"/>
      <c r="D3" s="70"/>
      <c r="E3" s="70"/>
      <c r="F3" s="70"/>
      <c r="G3" s="70"/>
      <c r="H3" s="70"/>
      <c r="I3" s="70"/>
      <c r="J3" s="70"/>
      <c r="K3" s="70"/>
    </row>
    <row r="4" spans="1:11" ht="42" customHeight="1">
      <c r="A4" s="16"/>
      <c r="B4" t="s">
        <v>5</v>
      </c>
      <c r="C4" t="s">
        <v>5</v>
      </c>
      <c r="D4" t="s">
        <v>5</v>
      </c>
      <c r="I4" t="s">
        <v>5</v>
      </c>
    </row>
    <row r="5" spans="1:11" ht="30" customHeight="1">
      <c r="A5" s="1" t="s">
        <v>1627</v>
      </c>
      <c r="B5" s="1" t="s">
        <v>1628</v>
      </c>
      <c r="C5" s="1" t="s">
        <v>1629</v>
      </c>
      <c r="D5" s="1" t="s">
        <v>1630</v>
      </c>
      <c r="E5" s="1" t="s">
        <v>1505</v>
      </c>
      <c r="F5" s="1" t="s">
        <v>1506</v>
      </c>
      <c r="G5" s="1" t="s">
        <v>1508</v>
      </c>
      <c r="H5" s="1" t="s">
        <v>1631</v>
      </c>
      <c r="I5" s="1" t="s">
        <v>1632</v>
      </c>
      <c r="J5" s="1" t="s">
        <v>1633</v>
      </c>
      <c r="K5" s="1" t="s">
        <v>1634</v>
      </c>
    </row>
    <row r="6" spans="1:11" ht="409.5">
      <c r="A6" s="2" t="s">
        <v>1635</v>
      </c>
      <c r="B6" s="36" t="s">
        <v>1636</v>
      </c>
      <c r="C6" s="2" t="s">
        <v>1637</v>
      </c>
      <c r="D6" s="2" t="s">
        <v>1638</v>
      </c>
      <c r="E6" s="2" t="s">
        <v>111</v>
      </c>
      <c r="F6" s="2" t="s">
        <v>1639</v>
      </c>
      <c r="G6" s="2" t="s">
        <v>1640</v>
      </c>
      <c r="H6" s="2"/>
      <c r="I6" s="2" t="s">
        <v>1641</v>
      </c>
      <c r="J6" s="2" t="s">
        <v>1642</v>
      </c>
      <c r="K6" s="2" t="s">
        <v>1643</v>
      </c>
    </row>
    <row r="7" spans="1:11" ht="409.5">
      <c r="A7" s="2" t="s">
        <v>1635</v>
      </c>
      <c r="B7" s="2" t="s">
        <v>1636</v>
      </c>
      <c r="C7" s="2" t="s">
        <v>1644</v>
      </c>
      <c r="D7" s="2" t="s">
        <v>1645</v>
      </c>
      <c r="E7" s="2" t="s">
        <v>111</v>
      </c>
      <c r="F7" s="2" t="s">
        <v>1646</v>
      </c>
      <c r="G7" s="2" t="s">
        <v>1647</v>
      </c>
      <c r="H7" s="2"/>
      <c r="I7" s="2" t="s">
        <v>1648</v>
      </c>
      <c r="J7" s="2" t="s">
        <v>1649</v>
      </c>
      <c r="K7" s="2"/>
    </row>
    <row r="8" spans="1:11" ht="310.5">
      <c r="A8" s="2" t="s">
        <v>1635</v>
      </c>
      <c r="B8" s="2" t="s">
        <v>1636</v>
      </c>
      <c r="C8" s="2" t="s">
        <v>1650</v>
      </c>
      <c r="D8" s="2" t="s">
        <v>1651</v>
      </c>
      <c r="E8" s="2" t="s">
        <v>111</v>
      </c>
      <c r="F8" s="2" t="s">
        <v>1652</v>
      </c>
      <c r="G8" s="2" t="s">
        <v>1653</v>
      </c>
      <c r="H8" s="2"/>
      <c r="I8" s="2" t="s">
        <v>1654</v>
      </c>
      <c r="J8" s="2" t="s">
        <v>1655</v>
      </c>
      <c r="K8" s="2"/>
    </row>
    <row r="9" spans="1:11" ht="333.6">
      <c r="A9" s="2" t="s">
        <v>1656</v>
      </c>
      <c r="B9" s="2" t="s">
        <v>1657</v>
      </c>
      <c r="C9" s="2" t="s">
        <v>1658</v>
      </c>
      <c r="D9" s="2" t="s">
        <v>1659</v>
      </c>
      <c r="E9" s="2" t="s">
        <v>1376</v>
      </c>
      <c r="F9" s="2" t="s">
        <v>1660</v>
      </c>
      <c r="G9" s="2" t="s">
        <v>1661</v>
      </c>
      <c r="H9" s="2"/>
      <c r="I9" s="2" t="s">
        <v>1662</v>
      </c>
      <c r="J9" s="2" t="s">
        <v>1663</v>
      </c>
      <c r="K9" s="2"/>
    </row>
    <row r="10" spans="1:11" ht="409.5">
      <c r="A10" s="2" t="s">
        <v>1656</v>
      </c>
      <c r="B10" s="2" t="s">
        <v>1657</v>
      </c>
      <c r="C10" s="2" t="s">
        <v>1664</v>
      </c>
      <c r="D10" s="2" t="s">
        <v>1665</v>
      </c>
      <c r="E10" s="2" t="s">
        <v>1666</v>
      </c>
      <c r="F10" s="2" t="s">
        <v>1667</v>
      </c>
      <c r="G10" s="2" t="s">
        <v>1668</v>
      </c>
      <c r="H10" s="2"/>
      <c r="I10" s="2" t="s">
        <v>1669</v>
      </c>
      <c r="J10" s="2" t="s">
        <v>1670</v>
      </c>
      <c r="K10" s="2"/>
    </row>
    <row r="11" spans="1:11" ht="409.5">
      <c r="A11" s="2" t="s">
        <v>1656</v>
      </c>
      <c r="B11" s="2" t="s">
        <v>1657</v>
      </c>
      <c r="C11" s="2" t="s">
        <v>1671</v>
      </c>
      <c r="D11" s="2" t="s">
        <v>1672</v>
      </c>
      <c r="E11" s="2" t="s">
        <v>1666</v>
      </c>
      <c r="F11" s="2" t="s">
        <v>1673</v>
      </c>
      <c r="G11" s="2" t="s">
        <v>1674</v>
      </c>
      <c r="H11" s="2"/>
      <c r="I11" s="2" t="s">
        <v>1675</v>
      </c>
      <c r="J11" s="2" t="s">
        <v>1676</v>
      </c>
      <c r="K11" s="2"/>
    </row>
    <row r="13" spans="1:11" ht="20.100000000000001" customHeight="1">
      <c r="A13" s="51" t="s">
        <v>1677</v>
      </c>
      <c r="B13" s="70"/>
      <c r="C13" s="70"/>
      <c r="D13" s="70"/>
      <c r="E13" s="70"/>
      <c r="F13" s="70"/>
      <c r="G13" s="70"/>
      <c r="H13" s="70"/>
      <c r="I13" s="70"/>
      <c r="J13" s="70"/>
      <c r="K13" s="70"/>
    </row>
  </sheetData>
  <mergeCells count="4">
    <mergeCell ref="A2:K2"/>
    <mergeCell ref="A1:K1"/>
    <mergeCell ref="A13:K13"/>
    <mergeCell ref="A3:K3"/>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tabSelected="1" topLeftCell="F1" zoomScale="93" zoomScaleNormal="130" workbookViewId="0">
      <pane ySplit="5" topLeftCell="G6" activePane="bottomLeft" state="frozen"/>
      <selection pane="bottomLeft" activeCell="G7" sqref="G7"/>
      <selection activeCell="B52" sqref="B52"/>
    </sheetView>
  </sheetViews>
  <sheetFormatPr defaultColWidth="9.140625" defaultRowHeight="14.45"/>
  <cols>
    <col min="1" max="1" width="7" customWidth="1"/>
    <col min="2" max="2" width="22" customWidth="1"/>
    <col min="3" max="3" width="30" customWidth="1"/>
    <col min="4" max="4" width="28" customWidth="1"/>
    <col min="5" max="5" width="25" customWidth="1"/>
    <col min="6" max="6" width="38" customWidth="1"/>
    <col min="7" max="7" width="42" customWidth="1"/>
    <col min="8" max="8" width="45" customWidth="1"/>
    <col min="9" max="9" width="38" customWidth="1"/>
    <col min="10" max="10" width="55" customWidth="1"/>
    <col min="11" max="11" width="30" customWidth="1"/>
    <col min="12" max="12" width="10" customWidth="1"/>
    <col min="13" max="13" width="31.28515625" customWidth="1"/>
  </cols>
  <sheetData>
    <row r="1" spans="1:13" ht="28.15" customHeight="1">
      <c r="A1" s="53" t="s">
        <v>1678</v>
      </c>
      <c r="B1" s="70"/>
      <c r="C1" s="70"/>
      <c r="D1" s="70"/>
      <c r="E1" s="70"/>
      <c r="F1" s="70"/>
      <c r="G1" s="70"/>
      <c r="H1" s="70"/>
      <c r="I1" s="70"/>
      <c r="J1" s="70"/>
      <c r="K1" s="70"/>
      <c r="L1" s="70"/>
    </row>
    <row r="2" spans="1:13" ht="18" customHeight="1">
      <c r="A2" s="52" t="s">
        <v>1679</v>
      </c>
      <c r="B2" s="70"/>
      <c r="C2" s="70"/>
      <c r="D2" s="70"/>
      <c r="E2" s="70"/>
      <c r="F2" s="70"/>
      <c r="G2" s="70"/>
      <c r="H2" s="70"/>
      <c r="I2" s="70"/>
      <c r="J2" s="70"/>
      <c r="K2" s="70"/>
      <c r="L2" s="70"/>
    </row>
    <row r="3" spans="1:13" ht="48" customHeight="1">
      <c r="A3" s="51" t="s">
        <v>1680</v>
      </c>
      <c r="B3" s="70"/>
      <c r="C3" s="70"/>
      <c r="D3" s="70"/>
      <c r="E3" s="70"/>
      <c r="F3" s="70"/>
      <c r="G3" s="70"/>
      <c r="H3" s="70"/>
      <c r="I3" s="70"/>
      <c r="J3" s="70"/>
      <c r="K3" s="70"/>
      <c r="L3" s="70"/>
    </row>
    <row r="4" spans="1:13" ht="48" customHeight="1">
      <c r="A4" s="16"/>
      <c r="B4" t="s">
        <v>5</v>
      </c>
    </row>
    <row r="5" spans="1:13" ht="30" customHeight="1">
      <c r="A5" s="1" t="s">
        <v>1681</v>
      </c>
      <c r="B5" s="1" t="s">
        <v>1682</v>
      </c>
      <c r="C5" s="1" t="s">
        <v>1630</v>
      </c>
      <c r="D5" s="1" t="s">
        <v>1683</v>
      </c>
      <c r="E5" s="1" t="s">
        <v>1505</v>
      </c>
      <c r="F5" s="1" t="s">
        <v>1684</v>
      </c>
      <c r="G5" s="1" t="s">
        <v>1685</v>
      </c>
      <c r="H5" s="1" t="s">
        <v>1506</v>
      </c>
      <c r="I5" s="1" t="s">
        <v>1631</v>
      </c>
      <c r="J5" s="1" t="s">
        <v>1508</v>
      </c>
      <c r="K5" s="1" t="s">
        <v>1686</v>
      </c>
      <c r="L5" s="1" t="s">
        <v>1687</v>
      </c>
      <c r="M5" s="1" t="s">
        <v>92</v>
      </c>
    </row>
    <row r="6" spans="1:13" ht="219" customHeight="1">
      <c r="A6" s="5" t="s">
        <v>1688</v>
      </c>
      <c r="B6" s="5" t="s">
        <v>1689</v>
      </c>
      <c r="C6" s="5" t="s">
        <v>1690</v>
      </c>
      <c r="D6" s="5" t="s">
        <v>1691</v>
      </c>
      <c r="E6" s="5" t="s">
        <v>1512</v>
      </c>
      <c r="F6" s="5" t="s">
        <v>1692</v>
      </c>
      <c r="G6" s="5" t="s">
        <v>1693</v>
      </c>
      <c r="H6" s="5" t="s">
        <v>1694</v>
      </c>
      <c r="I6" s="5" t="s">
        <v>1695</v>
      </c>
      <c r="J6" s="5" t="s">
        <v>1696</v>
      </c>
      <c r="K6" s="48" t="s">
        <v>1697</v>
      </c>
      <c r="L6" s="5" t="s">
        <v>1698</v>
      </c>
      <c r="M6" s="5" t="s">
        <v>1699</v>
      </c>
    </row>
    <row r="7" spans="1:13" ht="171" customHeight="1">
      <c r="A7" s="5" t="s">
        <v>1700</v>
      </c>
      <c r="B7" s="5" t="s">
        <v>1701</v>
      </c>
      <c r="C7" s="5" t="s">
        <v>1702</v>
      </c>
      <c r="D7" s="5" t="s">
        <v>1703</v>
      </c>
      <c r="E7" s="5" t="s">
        <v>1527</v>
      </c>
      <c r="F7" s="5" t="s">
        <v>1704</v>
      </c>
      <c r="G7" s="5" t="s">
        <v>1705</v>
      </c>
      <c r="H7" s="5" t="s">
        <v>1706</v>
      </c>
      <c r="I7" s="5" t="s">
        <v>1707</v>
      </c>
      <c r="J7" s="5" t="s">
        <v>1708</v>
      </c>
      <c r="K7" s="36" t="s">
        <v>1709</v>
      </c>
      <c r="L7" s="5" t="s">
        <v>1710</v>
      </c>
      <c r="M7" s="5" t="s">
        <v>1711</v>
      </c>
    </row>
    <row r="8" spans="1:13" ht="110.1" customHeight="1">
      <c r="A8" s="5" t="s">
        <v>1712</v>
      </c>
      <c r="B8" s="5" t="s">
        <v>1713</v>
      </c>
      <c r="C8" s="5" t="s">
        <v>1714</v>
      </c>
      <c r="D8" s="5" t="s">
        <v>1715</v>
      </c>
      <c r="E8" s="5" t="s">
        <v>1537</v>
      </c>
      <c r="F8" s="5" t="s">
        <v>1716</v>
      </c>
      <c r="G8" s="5" t="s">
        <v>1717</v>
      </c>
      <c r="H8" s="5" t="s">
        <v>1718</v>
      </c>
      <c r="I8" s="5" t="s">
        <v>1719</v>
      </c>
      <c r="J8" s="5" t="s">
        <v>1720</v>
      </c>
      <c r="K8" s="5" t="s">
        <v>1721</v>
      </c>
      <c r="L8" s="5" t="s">
        <v>1698</v>
      </c>
      <c r="M8" s="5" t="s">
        <v>1699</v>
      </c>
    </row>
    <row r="10" spans="1:13" ht="20.100000000000001" customHeight="1"/>
    <row r="14" spans="1:13">
      <c r="A14" s="51" t="s">
        <v>1722</v>
      </c>
      <c r="B14" s="70"/>
      <c r="C14" s="70"/>
      <c r="D14" s="70"/>
      <c r="E14" s="70"/>
      <c r="F14" s="70"/>
      <c r="G14" s="70"/>
      <c r="H14" s="70"/>
      <c r="I14" s="70"/>
      <c r="J14" s="70"/>
      <c r="K14" s="70"/>
      <c r="L14" s="70"/>
    </row>
  </sheetData>
  <mergeCells count="4">
    <mergeCell ref="A3:L3"/>
    <mergeCell ref="A2:L2"/>
    <mergeCell ref="A1:L1"/>
    <mergeCell ref="A14:L14"/>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6"/>
  <sheetViews>
    <sheetView topLeftCell="A3" zoomScale="81" zoomScaleNormal="130" workbookViewId="0">
      <selection activeCell="B52" sqref="B52"/>
    </sheetView>
  </sheetViews>
  <sheetFormatPr defaultColWidth="9.140625" defaultRowHeight="14.45"/>
  <cols>
    <col min="1" max="1" width="30" customWidth="1"/>
    <col min="2" max="2" width="40" customWidth="1"/>
    <col min="6" max="6" width="38" customWidth="1"/>
  </cols>
  <sheetData>
    <row r="1" spans="1:10" ht="28.15" customHeight="1">
      <c r="A1" s="53" t="s">
        <v>1723</v>
      </c>
      <c r="B1" s="70"/>
      <c r="C1" s="70"/>
      <c r="D1" s="70"/>
      <c r="E1" s="70"/>
      <c r="F1" s="70"/>
      <c r="G1" s="70"/>
      <c r="H1" s="70"/>
      <c r="I1" s="70"/>
      <c r="J1" s="70"/>
    </row>
    <row r="2" spans="1:10" ht="18" customHeight="1">
      <c r="A2" s="52" t="s">
        <v>1724</v>
      </c>
      <c r="B2" s="70"/>
      <c r="C2" s="70"/>
      <c r="D2" s="70"/>
      <c r="E2" s="70"/>
      <c r="F2" s="70"/>
      <c r="G2" s="70"/>
      <c r="H2" s="70"/>
      <c r="I2" s="70"/>
      <c r="J2" s="70"/>
    </row>
    <row r="3" spans="1:10" ht="36" customHeight="1">
      <c r="A3" s="51" t="s">
        <v>1725</v>
      </c>
      <c r="B3" s="70"/>
      <c r="C3" s="70"/>
      <c r="D3" s="70"/>
      <c r="E3" s="70"/>
      <c r="F3" s="70"/>
      <c r="G3" s="70"/>
      <c r="H3" s="70"/>
      <c r="I3" s="70"/>
      <c r="J3" s="70"/>
    </row>
    <row r="4" spans="1:10" ht="24" customHeight="1">
      <c r="A4" s="1" t="s">
        <v>1726</v>
      </c>
      <c r="B4" s="67" t="s">
        <v>1727</v>
      </c>
      <c r="C4" s="71"/>
      <c r="D4" s="71"/>
      <c r="E4" s="72"/>
      <c r="F4" s="67"/>
      <c r="G4" s="71"/>
      <c r="H4" s="71"/>
      <c r="I4" s="71"/>
      <c r="J4" s="72"/>
    </row>
    <row r="5" spans="1:10" ht="20.100000000000001" customHeight="1">
      <c r="A5" s="61" t="s">
        <v>1728</v>
      </c>
      <c r="B5" s="70"/>
      <c r="C5" s="70"/>
      <c r="D5" s="70"/>
      <c r="E5" s="70"/>
      <c r="F5" s="70"/>
      <c r="G5" s="70"/>
      <c r="H5" s="70"/>
      <c r="I5" s="70"/>
      <c r="J5" s="70"/>
    </row>
    <row r="6" spans="1:10" ht="22.15" customHeight="1">
      <c r="A6" s="3" t="s">
        <v>20</v>
      </c>
      <c r="B6" s="59" t="s">
        <v>1729</v>
      </c>
      <c r="C6" s="71"/>
      <c r="D6" s="71"/>
      <c r="E6" s="72"/>
      <c r="F6" s="60" t="s">
        <v>1730</v>
      </c>
      <c r="G6" s="71"/>
      <c r="H6" s="71"/>
      <c r="I6" s="71"/>
      <c r="J6" s="72"/>
    </row>
    <row r="7" spans="1:10" ht="22.15" customHeight="1">
      <c r="A7" s="3" t="s">
        <v>1731</v>
      </c>
      <c r="B7" s="59" t="s">
        <v>1732</v>
      </c>
      <c r="C7" s="71"/>
      <c r="D7" s="71"/>
      <c r="E7" s="72"/>
      <c r="F7" s="60" t="s">
        <v>1733</v>
      </c>
      <c r="G7" s="71"/>
      <c r="H7" s="71"/>
      <c r="I7" s="71"/>
      <c r="J7" s="72"/>
    </row>
    <row r="8" spans="1:10" ht="22.15" customHeight="1">
      <c r="A8" s="3" t="s">
        <v>1734</v>
      </c>
      <c r="B8" s="59" t="s">
        <v>1735</v>
      </c>
      <c r="C8" s="71"/>
      <c r="D8" s="71"/>
      <c r="E8" s="72"/>
      <c r="F8" s="60" t="s">
        <v>1736</v>
      </c>
      <c r="G8" s="71"/>
      <c r="H8" s="71"/>
      <c r="I8" s="71"/>
      <c r="J8" s="72"/>
    </row>
    <row r="9" spans="1:10" ht="22.15" customHeight="1">
      <c r="A9" s="3" t="s">
        <v>1737</v>
      </c>
      <c r="B9" s="59" t="s">
        <v>1738</v>
      </c>
      <c r="C9" s="71"/>
      <c r="D9" s="71"/>
      <c r="E9" s="72"/>
      <c r="F9" s="60" t="s">
        <v>1739</v>
      </c>
      <c r="G9" s="71"/>
      <c r="H9" s="71"/>
      <c r="I9" s="71"/>
      <c r="J9" s="72"/>
    </row>
    <row r="10" spans="1:10" ht="22.15" customHeight="1">
      <c r="A10" s="3" t="s">
        <v>1740</v>
      </c>
      <c r="B10" s="59" t="s">
        <v>1741</v>
      </c>
      <c r="C10" s="71"/>
      <c r="D10" s="71"/>
      <c r="E10" s="72"/>
      <c r="F10" s="60" t="s">
        <v>1742</v>
      </c>
      <c r="G10" s="71"/>
      <c r="H10" s="71"/>
      <c r="I10" s="71"/>
      <c r="J10" s="72"/>
    </row>
    <row r="11" spans="1:10" ht="22.15" customHeight="1">
      <c r="A11" s="3" t="s">
        <v>1743</v>
      </c>
      <c r="B11" s="59" t="s">
        <v>1744</v>
      </c>
      <c r="C11" s="71"/>
      <c r="D11" s="71"/>
      <c r="E11" s="72"/>
      <c r="F11" s="60" t="s">
        <v>1745</v>
      </c>
      <c r="G11" s="71"/>
      <c r="H11" s="71"/>
      <c r="I11" s="71"/>
      <c r="J11" s="72"/>
    </row>
    <row r="12" spans="1:10" ht="22.15" customHeight="1">
      <c r="A12" s="3" t="s">
        <v>1746</v>
      </c>
      <c r="B12" s="59" t="s">
        <v>1747</v>
      </c>
      <c r="C12" s="71"/>
      <c r="D12" s="71"/>
      <c r="E12" s="72"/>
      <c r="F12" s="60" t="s">
        <v>1748</v>
      </c>
      <c r="G12" s="71"/>
      <c r="H12" s="71"/>
      <c r="I12" s="71"/>
      <c r="J12" s="72"/>
    </row>
    <row r="13" spans="1:10" ht="22.15" customHeight="1">
      <c r="A13" s="3" t="s">
        <v>1749</v>
      </c>
      <c r="B13" s="59">
        <v>2026</v>
      </c>
      <c r="C13" s="71"/>
      <c r="D13" s="71"/>
      <c r="E13" s="72"/>
      <c r="F13" s="60" t="s">
        <v>1750</v>
      </c>
      <c r="G13" s="71"/>
      <c r="H13" s="71"/>
      <c r="I13" s="71"/>
      <c r="J13" s="72"/>
    </row>
    <row r="14" spans="1:10" ht="22.15" customHeight="1">
      <c r="A14" s="3" t="s">
        <v>1751</v>
      </c>
      <c r="B14" s="66">
        <v>6</v>
      </c>
      <c r="C14" s="73"/>
      <c r="D14" s="73"/>
      <c r="E14" s="74"/>
      <c r="F14" s="60" t="s">
        <v>1752</v>
      </c>
      <c r="G14" s="71"/>
      <c r="H14" s="71"/>
      <c r="I14" s="71"/>
      <c r="J14" s="72"/>
    </row>
    <row r="16" spans="1:10" ht="20.100000000000001" customHeight="1">
      <c r="A16" s="61" t="s">
        <v>1753</v>
      </c>
      <c r="B16" s="70"/>
      <c r="C16" s="70"/>
      <c r="D16" s="70"/>
      <c r="E16" s="70"/>
      <c r="F16" s="70"/>
      <c r="G16" s="70"/>
      <c r="H16" s="70"/>
      <c r="I16" s="70"/>
      <c r="J16" s="70"/>
    </row>
    <row r="17" spans="1:10" ht="22.15" customHeight="1">
      <c r="A17" s="3" t="s">
        <v>1754</v>
      </c>
      <c r="B17" s="59" t="s">
        <v>1161</v>
      </c>
      <c r="C17" s="71"/>
      <c r="D17" s="71"/>
      <c r="E17" s="72"/>
      <c r="F17" s="60" t="s">
        <v>1755</v>
      </c>
      <c r="G17" s="71"/>
      <c r="H17" s="71"/>
      <c r="I17" s="71"/>
      <c r="J17" s="72"/>
    </row>
    <row r="18" spans="1:10" ht="22.15" customHeight="1">
      <c r="A18" s="3" t="s">
        <v>1756</v>
      </c>
      <c r="B18" s="63" t="s">
        <v>1757</v>
      </c>
      <c r="C18" s="64"/>
      <c r="D18" s="64"/>
      <c r="E18" s="65"/>
      <c r="F18" s="60" t="s">
        <v>1758</v>
      </c>
      <c r="G18" s="71"/>
      <c r="H18" s="71"/>
      <c r="I18" s="71"/>
      <c r="J18" s="72"/>
    </row>
    <row r="19" spans="1:10" ht="22.15" customHeight="1">
      <c r="A19" s="3" t="s">
        <v>1759</v>
      </c>
      <c r="B19" s="59" t="s">
        <v>1760</v>
      </c>
      <c r="C19" s="71"/>
      <c r="D19" s="71"/>
      <c r="E19" s="72"/>
      <c r="F19" s="60" t="s">
        <v>1761</v>
      </c>
      <c r="G19" s="71"/>
      <c r="H19" s="71"/>
      <c r="I19" s="71"/>
      <c r="J19" s="72"/>
    </row>
    <row r="20" spans="1:10" ht="22.15" customHeight="1">
      <c r="A20" s="3" t="s">
        <v>1762</v>
      </c>
      <c r="B20" s="59" t="s">
        <v>1763</v>
      </c>
      <c r="C20" s="71"/>
      <c r="D20" s="71"/>
      <c r="E20" s="72"/>
      <c r="F20" s="60" t="s">
        <v>1764</v>
      </c>
      <c r="G20" s="71"/>
      <c r="H20" s="71"/>
      <c r="I20" s="71"/>
      <c r="J20" s="72"/>
    </row>
    <row r="22" spans="1:10" ht="20.100000000000001" customHeight="1">
      <c r="A22" s="61" t="s">
        <v>1765</v>
      </c>
      <c r="B22" s="70"/>
      <c r="C22" s="70"/>
      <c r="D22" s="70"/>
      <c r="E22" s="70"/>
      <c r="F22" s="70"/>
      <c r="G22" s="70"/>
      <c r="H22" s="70"/>
      <c r="I22" s="70"/>
      <c r="J22" s="70"/>
    </row>
    <row r="23" spans="1:10" ht="22.15" customHeight="1">
      <c r="A23" s="3" t="s">
        <v>1766</v>
      </c>
      <c r="B23" s="59" t="s">
        <v>1767</v>
      </c>
      <c r="C23" s="71"/>
      <c r="D23" s="71"/>
      <c r="E23" s="72"/>
      <c r="F23" s="60" t="s">
        <v>1768</v>
      </c>
      <c r="G23" s="71"/>
      <c r="H23" s="71"/>
      <c r="I23" s="71"/>
      <c r="J23" s="72"/>
    </row>
    <row r="24" spans="1:10" ht="22.15" customHeight="1">
      <c r="A24" s="3" t="s">
        <v>1769</v>
      </c>
      <c r="B24" s="59" t="s">
        <v>1770</v>
      </c>
      <c r="C24" s="71"/>
      <c r="D24" s="71"/>
      <c r="E24" s="72"/>
      <c r="F24" s="60" t="s">
        <v>1771</v>
      </c>
      <c r="G24" s="71"/>
      <c r="H24" s="71"/>
      <c r="I24" s="71"/>
      <c r="J24" s="72"/>
    </row>
    <row r="25" spans="1:10" ht="22.15" customHeight="1">
      <c r="A25" s="3" t="s">
        <v>1772</v>
      </c>
      <c r="B25" s="62" t="s">
        <v>1773</v>
      </c>
      <c r="C25" s="71"/>
      <c r="D25" s="71"/>
      <c r="E25" s="72"/>
      <c r="F25" s="60" t="s">
        <v>1774</v>
      </c>
      <c r="G25" s="71"/>
      <c r="H25" s="71"/>
      <c r="I25" s="71"/>
      <c r="J25" s="72"/>
    </row>
    <row r="26" spans="1:10" ht="22.15" customHeight="1">
      <c r="A26" s="3" t="s">
        <v>1775</v>
      </c>
      <c r="B26" s="59" t="s">
        <v>1776</v>
      </c>
      <c r="C26" s="71"/>
      <c r="D26" s="71"/>
      <c r="E26" s="72"/>
      <c r="F26" s="60" t="s">
        <v>1777</v>
      </c>
      <c r="G26" s="71"/>
      <c r="H26" s="71"/>
      <c r="I26" s="71"/>
      <c r="J26" s="72"/>
    </row>
    <row r="27" spans="1:10" ht="22.15" customHeight="1">
      <c r="A27" s="3" t="s">
        <v>1778</v>
      </c>
      <c r="B27" s="59" t="s">
        <v>1779</v>
      </c>
      <c r="C27" s="71"/>
      <c r="D27" s="71"/>
      <c r="E27" s="72"/>
      <c r="F27" s="60" t="s">
        <v>1780</v>
      </c>
      <c r="G27" s="71"/>
      <c r="H27" s="71"/>
      <c r="I27" s="71"/>
      <c r="J27" s="72"/>
    </row>
    <row r="28" spans="1:10" ht="22.15" customHeight="1">
      <c r="A28" s="3" t="s">
        <v>1781</v>
      </c>
      <c r="B28" s="59" t="s">
        <v>1782</v>
      </c>
      <c r="C28" s="71"/>
      <c r="D28" s="71"/>
      <c r="E28" s="72"/>
      <c r="F28" s="60" t="s">
        <v>1783</v>
      </c>
      <c r="G28" s="71"/>
      <c r="H28" s="71"/>
      <c r="I28" s="71"/>
      <c r="J28" s="72"/>
    </row>
    <row r="30" spans="1:10" ht="20.100000000000001" customHeight="1">
      <c r="A30" s="61" t="s">
        <v>1784</v>
      </c>
      <c r="B30" s="70"/>
      <c r="C30" s="70"/>
      <c r="D30" s="70"/>
      <c r="E30" s="70"/>
      <c r="F30" s="70"/>
      <c r="G30" s="70"/>
      <c r="H30" s="70"/>
      <c r="I30" s="70"/>
      <c r="J30" s="70"/>
    </row>
    <row r="31" spans="1:10" ht="22.15" customHeight="1">
      <c r="A31" s="3" t="s">
        <v>1785</v>
      </c>
      <c r="B31" s="59" t="s">
        <v>1786</v>
      </c>
      <c r="C31" s="71"/>
      <c r="D31" s="71"/>
      <c r="E31" s="72"/>
      <c r="F31" s="60" t="s">
        <v>1787</v>
      </c>
      <c r="G31" s="71"/>
      <c r="H31" s="71"/>
      <c r="I31" s="71"/>
      <c r="J31" s="72"/>
    </row>
    <row r="32" spans="1:10" ht="22.15" customHeight="1">
      <c r="A32" s="3" t="s">
        <v>1788</v>
      </c>
      <c r="B32" s="59" t="s">
        <v>1789</v>
      </c>
      <c r="C32" s="71"/>
      <c r="D32" s="71"/>
      <c r="E32" s="72"/>
      <c r="F32" s="60" t="s">
        <v>1790</v>
      </c>
      <c r="G32" s="71"/>
      <c r="H32" s="71"/>
      <c r="I32" s="71"/>
      <c r="J32" s="72"/>
    </row>
    <row r="33" spans="1:10" ht="22.15" customHeight="1">
      <c r="A33" s="3" t="s">
        <v>1791</v>
      </c>
      <c r="B33" s="59" t="s">
        <v>1792</v>
      </c>
      <c r="C33" s="71"/>
      <c r="D33" s="71"/>
      <c r="E33" s="72"/>
      <c r="F33" s="60" t="s">
        <v>1793</v>
      </c>
      <c r="G33" s="71"/>
      <c r="H33" s="71"/>
      <c r="I33" s="71"/>
      <c r="J33" s="72"/>
    </row>
    <row r="34" spans="1:10" ht="22.15" customHeight="1">
      <c r="A34" s="3" t="s">
        <v>1794</v>
      </c>
      <c r="B34" s="59" t="s">
        <v>1795</v>
      </c>
      <c r="C34" s="71"/>
      <c r="D34" s="71"/>
      <c r="E34" s="72"/>
      <c r="F34" s="60" t="s">
        <v>1796</v>
      </c>
      <c r="G34" s="71"/>
      <c r="H34" s="71"/>
      <c r="I34" s="71"/>
      <c r="J34" s="72"/>
    </row>
    <row r="35" spans="1:10" ht="22.15" customHeight="1">
      <c r="A35" s="3" t="s">
        <v>1797</v>
      </c>
      <c r="B35" s="59" t="s">
        <v>1798</v>
      </c>
      <c r="C35" s="71"/>
      <c r="D35" s="71"/>
      <c r="E35" s="72"/>
      <c r="F35" s="60" t="s">
        <v>1799</v>
      </c>
      <c r="G35" s="71"/>
      <c r="H35" s="71"/>
      <c r="I35" s="71"/>
      <c r="J35" s="72"/>
    </row>
    <row r="36" spans="1:10" ht="22.15" customHeight="1">
      <c r="A36" s="3" t="s">
        <v>1800</v>
      </c>
      <c r="B36" s="59" t="s">
        <v>1801</v>
      </c>
      <c r="C36" s="71"/>
      <c r="D36" s="71"/>
      <c r="E36" s="72"/>
      <c r="F36" s="60" t="s">
        <v>1802</v>
      </c>
      <c r="G36" s="71"/>
      <c r="H36" s="71"/>
      <c r="I36" s="71"/>
      <c r="J36" s="72"/>
    </row>
  </sheetData>
  <mergeCells count="59">
    <mergeCell ref="F20:J20"/>
    <mergeCell ref="A5:J5"/>
    <mergeCell ref="B6:E6"/>
    <mergeCell ref="B7:E7"/>
    <mergeCell ref="F18:J18"/>
    <mergeCell ref="F8:J8"/>
    <mergeCell ref="F14:J14"/>
    <mergeCell ref="B13:E13"/>
    <mergeCell ref="B19:E19"/>
    <mergeCell ref="F17:J17"/>
    <mergeCell ref="F19:J19"/>
    <mergeCell ref="A2:J2"/>
    <mergeCell ref="B10:E10"/>
    <mergeCell ref="F4:J4"/>
    <mergeCell ref="B4:E4"/>
    <mergeCell ref="F12:J12"/>
    <mergeCell ref="F10:J10"/>
    <mergeCell ref="A1:J1"/>
    <mergeCell ref="B18:E18"/>
    <mergeCell ref="B12:E12"/>
    <mergeCell ref="F23:J23"/>
    <mergeCell ref="B11:E11"/>
    <mergeCell ref="A16:J16"/>
    <mergeCell ref="F13:J13"/>
    <mergeCell ref="B14:E14"/>
    <mergeCell ref="F9:J9"/>
    <mergeCell ref="B17:E17"/>
    <mergeCell ref="B23:E23"/>
    <mergeCell ref="B8:E8"/>
    <mergeCell ref="A22:J22"/>
    <mergeCell ref="F6:J6"/>
    <mergeCell ref="B20:E20"/>
    <mergeCell ref="A3:J3"/>
    <mergeCell ref="F28:J28"/>
    <mergeCell ref="B33:E33"/>
    <mergeCell ref="B24:E24"/>
    <mergeCell ref="F26:J26"/>
    <mergeCell ref="B27:E27"/>
    <mergeCell ref="F27:J27"/>
    <mergeCell ref="B28:E28"/>
    <mergeCell ref="F24:J24"/>
    <mergeCell ref="B25:E25"/>
    <mergeCell ref="F25:J25"/>
    <mergeCell ref="B36:E36"/>
    <mergeCell ref="B32:E32"/>
    <mergeCell ref="F7:J7"/>
    <mergeCell ref="B26:E26"/>
    <mergeCell ref="B35:E35"/>
    <mergeCell ref="F36:J36"/>
    <mergeCell ref="F33:J33"/>
    <mergeCell ref="F32:J32"/>
    <mergeCell ref="F35:J35"/>
    <mergeCell ref="B31:E31"/>
    <mergeCell ref="F31:J31"/>
    <mergeCell ref="B34:E34"/>
    <mergeCell ref="B9:E9"/>
    <mergeCell ref="F11:J11"/>
    <mergeCell ref="F34:J34"/>
    <mergeCell ref="A30:J3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5"/>
  <sheetViews>
    <sheetView topLeftCell="A12" zoomScale="65" workbookViewId="0">
      <selection activeCell="B52" sqref="B52"/>
    </sheetView>
  </sheetViews>
  <sheetFormatPr defaultColWidth="9.140625" defaultRowHeight="14.45"/>
  <cols>
    <col min="1" max="1" width="28" customWidth="1"/>
    <col min="2" max="2" width="80" customWidth="1"/>
  </cols>
  <sheetData>
    <row r="1" spans="1:8" ht="28.15" customHeight="1">
      <c r="A1" s="53" t="s">
        <v>1803</v>
      </c>
      <c r="B1" s="70"/>
      <c r="C1" s="70"/>
      <c r="D1" s="70"/>
      <c r="E1" s="70"/>
      <c r="F1" s="70"/>
      <c r="G1" s="70"/>
      <c r="H1" s="70"/>
    </row>
    <row r="2" spans="1:8" ht="18" customHeight="1">
      <c r="A2" s="52" t="s">
        <v>1804</v>
      </c>
      <c r="B2" s="70"/>
      <c r="C2" s="70"/>
      <c r="D2" s="70"/>
      <c r="E2" s="70"/>
      <c r="F2" s="70"/>
      <c r="G2" s="70"/>
      <c r="H2" s="70"/>
    </row>
    <row r="3" spans="1:8" ht="36" customHeight="1">
      <c r="A3" s="51" t="s">
        <v>1805</v>
      </c>
      <c r="B3" s="70"/>
      <c r="C3" s="70"/>
      <c r="D3" s="70"/>
      <c r="E3" s="70"/>
      <c r="F3" s="70"/>
      <c r="G3" s="70"/>
      <c r="H3" s="70"/>
    </row>
    <row r="4" spans="1:8" ht="30" customHeight="1">
      <c r="A4" s="1" t="s">
        <v>1806</v>
      </c>
      <c r="B4" s="67" t="s">
        <v>1807</v>
      </c>
      <c r="C4" s="71"/>
      <c r="D4" s="71"/>
      <c r="E4" s="71"/>
      <c r="F4" s="71"/>
      <c r="G4" s="71"/>
      <c r="H4" s="72"/>
    </row>
    <row r="5" spans="1:8" ht="20.100000000000001" customHeight="1">
      <c r="A5" s="61" t="s">
        <v>1808</v>
      </c>
      <c r="B5" s="70"/>
      <c r="C5" s="70"/>
      <c r="D5" s="70"/>
      <c r="E5" s="70"/>
      <c r="F5" s="70"/>
      <c r="G5" s="70"/>
      <c r="H5" s="70"/>
    </row>
    <row r="6" spans="1:8" ht="55.15" customHeight="1">
      <c r="A6" s="3" t="s">
        <v>1809</v>
      </c>
      <c r="B6" s="69" t="s">
        <v>1810</v>
      </c>
      <c r="C6" s="71"/>
      <c r="D6" s="71"/>
      <c r="E6" s="71"/>
      <c r="F6" s="71"/>
      <c r="G6" s="71"/>
      <c r="H6" s="72"/>
    </row>
    <row r="7" spans="1:8" ht="55.15" customHeight="1">
      <c r="A7" s="3" t="s">
        <v>1811</v>
      </c>
      <c r="B7" s="69" t="s">
        <v>1812</v>
      </c>
      <c r="C7" s="71"/>
      <c r="D7" s="71"/>
      <c r="E7" s="71"/>
      <c r="F7" s="71"/>
      <c r="G7" s="71"/>
      <c r="H7" s="72"/>
    </row>
    <row r="8" spans="1:8" ht="55.15" customHeight="1">
      <c r="A8" s="3" t="s">
        <v>1813</v>
      </c>
      <c r="B8" s="69" t="s">
        <v>1814</v>
      </c>
      <c r="C8" s="71"/>
      <c r="D8" s="71"/>
      <c r="E8" s="71"/>
      <c r="F8" s="71"/>
      <c r="G8" s="71"/>
      <c r="H8" s="72"/>
    </row>
    <row r="9" spans="1:8" ht="55.15" customHeight="1">
      <c r="A9" s="3" t="s">
        <v>1815</v>
      </c>
      <c r="B9" s="69" t="s">
        <v>1816</v>
      </c>
      <c r="C9" s="71"/>
      <c r="D9" s="71"/>
      <c r="E9" s="71"/>
      <c r="F9" s="71"/>
      <c r="G9" s="71"/>
      <c r="H9" s="72"/>
    </row>
    <row r="11" spans="1:8" ht="20.100000000000001" customHeight="1">
      <c r="A11" s="61" t="s">
        <v>1817</v>
      </c>
      <c r="B11" s="70"/>
      <c r="C11" s="70"/>
      <c r="D11" s="70"/>
      <c r="E11" s="70"/>
      <c r="F11" s="70"/>
      <c r="G11" s="70"/>
      <c r="H11" s="70"/>
    </row>
    <row r="12" spans="1:8" ht="55.15" customHeight="1">
      <c r="A12" s="3" t="s">
        <v>1818</v>
      </c>
      <c r="B12" s="69" t="s">
        <v>1786</v>
      </c>
      <c r="C12" s="71"/>
      <c r="D12" s="71"/>
      <c r="E12" s="71"/>
      <c r="F12" s="71"/>
      <c r="G12" s="71"/>
      <c r="H12" s="72"/>
    </row>
    <row r="13" spans="1:8" ht="55.15" customHeight="1">
      <c r="A13" s="3" t="s">
        <v>1819</v>
      </c>
      <c r="B13" s="69" t="s">
        <v>1795</v>
      </c>
      <c r="C13" s="71"/>
      <c r="D13" s="71"/>
      <c r="E13" s="71"/>
      <c r="F13" s="71"/>
      <c r="G13" s="71"/>
      <c r="H13" s="72"/>
    </row>
    <row r="14" spans="1:8" ht="55.15" customHeight="1">
      <c r="A14" s="4" t="s">
        <v>1820</v>
      </c>
      <c r="B14" s="68" t="s">
        <v>1821</v>
      </c>
      <c r="C14" s="71"/>
      <c r="D14" s="71"/>
      <c r="E14" s="71"/>
      <c r="F14" s="71"/>
      <c r="G14" s="71"/>
      <c r="H14" s="72"/>
    </row>
    <row r="16" spans="1:8" ht="20.100000000000001" customHeight="1">
      <c r="A16" s="61" t="s">
        <v>1822</v>
      </c>
      <c r="B16" s="70"/>
      <c r="C16" s="70"/>
      <c r="D16" s="70"/>
      <c r="E16" s="70"/>
      <c r="F16" s="70"/>
      <c r="G16" s="70"/>
      <c r="H16" s="70"/>
    </row>
    <row r="17" spans="1:8" ht="55.15" customHeight="1">
      <c r="A17" s="4" t="s">
        <v>1823</v>
      </c>
      <c r="B17" s="68" t="s">
        <v>1824</v>
      </c>
      <c r="C17" s="71"/>
      <c r="D17" s="71"/>
      <c r="E17" s="71"/>
      <c r="F17" s="71"/>
      <c r="G17" s="71"/>
      <c r="H17" s="72"/>
    </row>
    <row r="18" spans="1:8" ht="55.15" customHeight="1">
      <c r="A18" s="4" t="s">
        <v>1825</v>
      </c>
      <c r="B18" s="68" t="s">
        <v>1826</v>
      </c>
      <c r="C18" s="71"/>
      <c r="D18" s="71"/>
      <c r="E18" s="71"/>
      <c r="F18" s="71"/>
      <c r="G18" s="71"/>
      <c r="H18" s="72"/>
    </row>
    <row r="19" spans="1:8" ht="55.15" customHeight="1">
      <c r="A19" s="4" t="s">
        <v>1827</v>
      </c>
      <c r="B19" s="68" t="s">
        <v>1828</v>
      </c>
      <c r="C19" s="71"/>
      <c r="D19" s="71"/>
      <c r="E19" s="71"/>
      <c r="F19" s="71"/>
      <c r="G19" s="71"/>
      <c r="H19" s="72"/>
    </row>
    <row r="20" spans="1:8" ht="55.15" customHeight="1">
      <c r="A20" s="4" t="s">
        <v>1829</v>
      </c>
      <c r="B20" s="68" t="s">
        <v>1830</v>
      </c>
      <c r="C20" s="71"/>
      <c r="D20" s="71"/>
      <c r="E20" s="71"/>
      <c r="F20" s="71"/>
      <c r="G20" s="71"/>
      <c r="H20" s="72"/>
    </row>
    <row r="22" spans="1:8" ht="20.100000000000001" customHeight="1">
      <c r="A22" s="61" t="s">
        <v>1831</v>
      </c>
      <c r="B22" s="70"/>
      <c r="C22" s="70"/>
      <c r="D22" s="70"/>
      <c r="E22" s="70"/>
      <c r="F22" s="70"/>
      <c r="G22" s="70"/>
      <c r="H22" s="70"/>
    </row>
    <row r="23" spans="1:8" ht="55.15" customHeight="1">
      <c r="A23" s="3"/>
      <c r="B23" s="69"/>
      <c r="C23" s="71"/>
      <c r="D23" s="71"/>
      <c r="E23" s="71"/>
      <c r="F23" s="71"/>
      <c r="G23" s="71"/>
      <c r="H23" s="72"/>
    </row>
    <row r="24" spans="1:8" ht="55.15" customHeight="1">
      <c r="A24" s="3"/>
      <c r="B24" s="69"/>
      <c r="C24" s="71"/>
      <c r="D24" s="71"/>
      <c r="E24" s="71"/>
      <c r="F24" s="71"/>
      <c r="G24" s="71"/>
      <c r="H24" s="72"/>
    </row>
    <row r="25" spans="1:8" ht="55.15" customHeight="1">
      <c r="A25" s="3"/>
      <c r="B25" s="69"/>
      <c r="C25" s="71"/>
      <c r="D25" s="71"/>
      <c r="E25" s="71"/>
      <c r="F25" s="71"/>
      <c r="G25" s="71"/>
      <c r="H25" s="72"/>
    </row>
  </sheetData>
  <mergeCells count="22">
    <mergeCell ref="B25:H25"/>
    <mergeCell ref="A3:H3"/>
    <mergeCell ref="B18:H18"/>
    <mergeCell ref="A2:H2"/>
    <mergeCell ref="B12:H12"/>
    <mergeCell ref="A5:H5"/>
    <mergeCell ref="A22:H22"/>
    <mergeCell ref="B23:H23"/>
    <mergeCell ref="B8:H8"/>
    <mergeCell ref="B14:H14"/>
    <mergeCell ref="B17:H17"/>
    <mergeCell ref="B13:H13"/>
    <mergeCell ref="B19:H19"/>
    <mergeCell ref="B9:H9"/>
    <mergeCell ref="B6:H6"/>
    <mergeCell ref="B24:H24"/>
    <mergeCell ref="A11:H11"/>
    <mergeCell ref="A1:H1"/>
    <mergeCell ref="B20:H20"/>
    <mergeCell ref="B4:H4"/>
    <mergeCell ref="A16:H16"/>
    <mergeCell ref="B7:H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cff9239-4c81-40b9-b6ac-341e6877abce" xsi:nil="true"/>
    <lcf76f155ced4ddcb4097134ff3c332f xmlns="0206aebc-04d0-4b51-86e3-193a09c7263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B66BBFB6BA524187E87CCFCB580D38" ma:contentTypeVersion="10" ma:contentTypeDescription="Create a new document." ma:contentTypeScope="" ma:versionID="86530840dd87da0aa54d14c8648610cc">
  <xsd:schema xmlns:xsd="http://www.w3.org/2001/XMLSchema" xmlns:xs="http://www.w3.org/2001/XMLSchema" xmlns:p="http://schemas.microsoft.com/office/2006/metadata/properties" xmlns:ns2="0206aebc-04d0-4b51-86e3-193a09c7263a" xmlns:ns3="ccff9239-4c81-40b9-b6ac-341e6877abce" targetNamespace="http://schemas.microsoft.com/office/2006/metadata/properties" ma:root="true" ma:fieldsID="3001a585cdcfa11b19f63f4be791b207" ns2:_="" ns3:_="">
    <xsd:import namespace="0206aebc-04d0-4b51-86e3-193a09c7263a"/>
    <xsd:import namespace="ccff9239-4c81-40b9-b6ac-341e6877ab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06aebc-04d0-4b51-86e3-193a09c72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ff9239-4c81-40b9-b6ac-341e6877abc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723bc4-eccf-455e-b855-c311889510cc}" ma:internalName="TaxCatchAll" ma:showField="CatchAllData" ma:web="ccff9239-4c81-40b9-b6ac-341e6877ab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69E1B9-6EAE-4034-98EA-48369A31FADE}"/>
</file>

<file path=customXml/itemProps2.xml><?xml version="1.0" encoding="utf-8"?>
<ds:datastoreItem xmlns:ds="http://schemas.openxmlformats.org/officeDocument/2006/customXml" ds:itemID="{8A92228A-C366-4969-A832-761FBDB82DFB}"/>
</file>

<file path=customXml/itemProps3.xml><?xml version="1.0" encoding="utf-8"?>
<ds:datastoreItem xmlns:ds="http://schemas.openxmlformats.org/officeDocument/2006/customXml" ds:itemID="{6E25B4EC-C147-464D-AB79-81F57C5FE92E}"/>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2026-04-16T14:49:43Z</dcterms:created>
  <dcterms:modified xsi:type="dcterms:W3CDTF">2026-08-19T13:13:49Z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0x010100A3B66BBFB6BA524187E87CCFCB580D38</vt:lpwstr>
  </property>
  <property fmtid="{D5CDD505-2E9C-101B-9397-08002B2CF9AE}" pid="3" name="MediaServiceImageTags">
    <vt:lpwstr/>
  </property>
</Properties>
</file>